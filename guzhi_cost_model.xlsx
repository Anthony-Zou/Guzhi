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设" sheetId="1" state="visible" r:id="rId3"/>
    <sheet name="两个 AI 调用点" sheetId="2" state="visible" r:id="rId4"/>
    <sheet name="月成本对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<sst xmlns="http://schemas.openxmlformats.org/spreadsheetml/2006/main" count="189" uniqueCount="101">
  <si>
    <r>
      <rPr>
        <b val="true"/>
        <sz val="14"/>
        <color rgb="FF14110F"/>
        <rFont val="DejaVu Sans"/>
        <family val="2"/>
      </rPr>
      <t xml:space="preserve">故知 </t>
    </r>
    <r>
      <rPr>
        <b val="true"/>
        <sz val="14"/>
        <color rgb="FF14110F"/>
        <rFont val="Arial"/>
        <family val="0"/>
        <charset val="1"/>
      </rPr>
      <t xml:space="preserve">· </t>
    </r>
    <r>
      <rPr>
        <b val="true"/>
        <sz val="14"/>
        <color rgb="FF14110F"/>
        <rFont val="DejaVu Sans"/>
        <family val="2"/>
      </rPr>
      <t xml:space="preserve">推理成本假设表</t>
    </r>
  </si>
  <si>
    <r>
      <rPr>
        <i val="true"/>
        <sz val="9"/>
        <color rgb="FF6A6258"/>
        <rFont val="DejaVu Sans"/>
        <family val="2"/>
      </rPr>
      <t xml:space="preserve">蓝字 </t>
    </r>
    <r>
      <rPr>
        <i val="true"/>
        <sz val="9"/>
        <color rgb="FF6A6258"/>
        <rFont val="Arial"/>
        <family val="0"/>
        <charset val="1"/>
      </rPr>
      <t xml:space="preserve">= </t>
    </r>
    <r>
      <rPr>
        <i val="true"/>
        <sz val="9"/>
        <color rgb="FF6A6258"/>
        <rFont val="DejaVu Sans"/>
        <family val="2"/>
      </rPr>
      <t xml:space="preserve">可改的硬编码假设。改这里，所有 </t>
    </r>
    <r>
      <rPr>
        <i val="true"/>
        <sz val="9"/>
        <color rgb="FF6A6258"/>
        <rFont val="Arial"/>
        <family val="0"/>
        <charset val="1"/>
      </rPr>
      <t xml:space="preserve">sheet </t>
    </r>
    <r>
      <rPr>
        <i val="true"/>
        <sz val="9"/>
        <color rgb="FF6A6258"/>
        <rFont val="DejaVu Sans"/>
        <family val="2"/>
      </rPr>
      <t xml:space="preserve">自动重算。</t>
    </r>
  </si>
  <si>
    <r>
      <rPr>
        <i val="true"/>
        <sz val="10"/>
        <color rgb="FFB4654A"/>
        <rFont val="DejaVu Sans"/>
        <family val="2"/>
      </rPr>
      <t xml:space="preserve">重要：</t>
    </r>
    <r>
      <rPr>
        <i val="true"/>
        <sz val="10"/>
        <color rgb="FFB4654A"/>
        <rFont val="Arial"/>
        <family val="0"/>
        <charset val="1"/>
      </rPr>
      <t xml:space="preserve">KG </t>
    </r>
    <r>
      <rPr>
        <i val="true"/>
        <sz val="10"/>
        <color rgb="FFB4654A"/>
        <rFont val="DejaVu Sans"/>
        <family val="2"/>
      </rPr>
      <t xml:space="preserve">匹配本身是确定性图算法，</t>
    </r>
    <r>
      <rPr>
        <i val="true"/>
        <sz val="10"/>
        <color rgb="FFB4654A"/>
        <rFont val="Arial"/>
        <family val="0"/>
        <charset val="1"/>
      </rPr>
      <t xml:space="preserve">0 token</t>
    </r>
    <r>
      <rPr>
        <i val="true"/>
        <sz val="10"/>
        <color rgb="FFB4654A"/>
        <rFont val="DejaVu Sans"/>
        <family val="2"/>
      </rPr>
      <t xml:space="preserve">。</t>
    </r>
    <r>
      <rPr>
        <i val="true"/>
        <sz val="10"/>
        <color rgb="FFB4654A"/>
        <rFont val="Arial"/>
        <family val="0"/>
        <charset val="1"/>
      </rPr>
      <t xml:space="preserve">token </t>
    </r>
    <r>
      <rPr>
        <i val="true"/>
        <sz val="10"/>
        <color rgb="FFB4654A"/>
        <rFont val="DejaVu Sans"/>
        <family val="2"/>
      </rPr>
      <t xml:space="preserve">只花在两处 → 用户输入抽 </t>
    </r>
    <r>
      <rPr>
        <i val="true"/>
        <sz val="10"/>
        <color rgb="FFB4654A"/>
        <rFont val="Arial"/>
        <family val="0"/>
        <charset val="1"/>
      </rPr>
      <t xml:space="preserve">KG / </t>
    </r>
    <r>
      <rPr>
        <i val="true"/>
        <sz val="10"/>
        <color rgb="FFB4654A"/>
        <rFont val="DejaVu Sans"/>
        <family val="2"/>
      </rPr>
      <t xml:space="preserve">高分相遇写对话。</t>
    </r>
  </si>
  <si>
    <r>
      <rPr>
        <b val="true"/>
        <sz val="11"/>
        <color rgb="FF14110F"/>
        <rFont val="DejaVu Sans"/>
        <family val="2"/>
      </rPr>
      <t xml:space="preserve">  模型单价（</t>
    </r>
    <r>
      <rPr>
        <b val="true"/>
        <sz val="11"/>
        <color rgb="FF14110F"/>
        <rFont val="Arial"/>
        <family val="0"/>
        <charset val="1"/>
      </rPr>
      <t xml:space="preserve">USD / 1M tokens · 2026 </t>
    </r>
    <r>
      <rPr>
        <b val="true"/>
        <sz val="11"/>
        <color rgb="FF14110F"/>
        <rFont val="DejaVu Sans"/>
        <family val="2"/>
      </rPr>
      <t xml:space="preserve">春参考价）</t>
    </r>
  </si>
  <si>
    <t xml:space="preserve">模型</t>
  </si>
  <si>
    <t xml:space="preserve">档位</t>
  </si>
  <si>
    <t xml:space="preserve">输入价</t>
  </si>
  <si>
    <t xml:space="preserve">输出价</t>
  </si>
  <si>
    <t xml:space="preserve">用于什么</t>
  </si>
  <si>
    <t xml:space="preserve">备注</t>
  </si>
  <si>
    <t xml:space="preserve">Claude Haiku 4.5</t>
  </si>
  <si>
    <t xml:space="preserve">低档</t>
  </si>
  <si>
    <r>
      <rPr>
        <sz val="10"/>
        <color rgb="FF000000"/>
        <rFont val="Arial"/>
        <family val="0"/>
        <charset val="1"/>
      </rPr>
      <t xml:space="preserve">KG </t>
    </r>
    <r>
      <rPr>
        <sz val="10"/>
        <color rgb="FF000000"/>
        <rFont val="DejaVu Sans"/>
        <family val="2"/>
      </rPr>
      <t xml:space="preserve">抽取（用户日常投喂）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普通分相遇对话</t>
    </r>
  </si>
  <si>
    <r>
      <rPr>
        <i val="true"/>
        <sz val="9"/>
        <color rgb="FF6A6258"/>
        <rFont val="Arial"/>
        <family val="0"/>
        <charset val="1"/>
      </rPr>
      <t xml:space="preserve">Source: Anthropic </t>
    </r>
    <r>
      <rPr>
        <i val="true"/>
        <sz val="9"/>
        <color rgb="FF6A6258"/>
        <rFont val="DejaVu Sans"/>
        <family val="2"/>
      </rPr>
      <t xml:space="preserve">定价</t>
    </r>
  </si>
  <si>
    <t xml:space="preserve">Claude Sonnet 4.6</t>
  </si>
  <si>
    <t xml:space="preserve">中档</t>
  </si>
  <si>
    <r>
      <rPr>
        <sz val="10"/>
        <color rgb="FF000000"/>
        <rFont val="Arial"/>
        <family val="0"/>
        <charset val="1"/>
      </rPr>
      <t xml:space="preserve">Onboarding </t>
    </r>
    <r>
      <rPr>
        <sz val="10"/>
        <color rgb="FF000000"/>
        <rFont val="DejaVu Sans"/>
        <family val="2"/>
      </rPr>
      <t xml:space="preserve">时的深度 </t>
    </r>
    <r>
      <rPr>
        <sz val="10"/>
        <color rgb="FF000000"/>
        <rFont val="Arial"/>
        <family val="0"/>
        <charset val="1"/>
      </rPr>
      <t xml:space="preserve">KG </t>
    </r>
    <r>
      <rPr>
        <sz val="10"/>
        <color rgb="FF000000"/>
        <rFont val="DejaVu Sans"/>
        <family val="2"/>
      </rPr>
      <t xml:space="preserve">抽取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高分相遇对话</t>
    </r>
  </si>
  <si>
    <t xml:space="preserve">Claude Opus 4.6</t>
  </si>
  <si>
    <t xml:space="preserve">顶配</t>
  </si>
  <si>
    <r>
      <rPr>
        <sz val="10"/>
        <color rgb="FF000000"/>
        <rFont val="DejaVu Sans"/>
        <family val="2"/>
      </rPr>
      <t xml:space="preserve">只用于 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DejaVu Sans"/>
        <family val="2"/>
      </rPr>
      <t xml:space="preserve">顶层高分相遇（占总相遇 </t>
    </r>
    <r>
      <rPr>
        <sz val="10"/>
        <color rgb="FF000000"/>
        <rFont val="Arial"/>
        <family val="0"/>
        <charset val="1"/>
      </rPr>
      <t xml:space="preserve">~5%</t>
    </r>
    <r>
      <rPr>
        <sz val="10"/>
        <color rgb="FF000000"/>
        <rFont val="DejaVu Sans"/>
        <family val="2"/>
      </rPr>
      <t xml:space="preserve">）</t>
    </r>
  </si>
  <si>
    <r>
      <rPr>
        <b val="true"/>
        <sz val="11"/>
        <color rgb="FF14110F"/>
        <rFont val="Arial"/>
        <family val="0"/>
        <charset val="1"/>
      </rPr>
      <t xml:space="preserve">  DAU </t>
    </r>
    <r>
      <rPr>
        <b val="true"/>
        <sz val="11"/>
        <color rgb="FF14110F"/>
        <rFont val="DejaVu Sans"/>
        <family val="2"/>
      </rPr>
      <t xml:space="preserve">档位 </t>
    </r>
    <r>
      <rPr>
        <b val="true"/>
        <sz val="11"/>
        <color rgb="FF14110F"/>
        <rFont val="Arial"/>
        <family val="0"/>
        <charset val="1"/>
      </rPr>
      <t xml:space="preserve">+ </t>
    </r>
    <r>
      <rPr>
        <b val="true"/>
        <sz val="11"/>
        <color rgb="FF14110F"/>
        <rFont val="DejaVu Sans"/>
        <family val="2"/>
      </rPr>
      <t xml:space="preserve">用户行为假设</t>
    </r>
  </si>
  <si>
    <t xml:space="preserve">DAU</t>
  </si>
  <si>
    <t xml:space="preserve">人均日投喂次数</t>
  </si>
  <si>
    <t xml:space="preserve">人均日相遇次数</t>
  </si>
  <si>
    <r>
      <rPr>
        <b val="true"/>
        <sz val="10"/>
        <color rgb="FFFFFFFF"/>
        <rFont val="DejaVu Sans"/>
        <family val="2"/>
      </rPr>
      <t xml:space="preserve">高分相遇占比 </t>
    </r>
    <r>
      <rPr>
        <b val="true"/>
        <sz val="10"/>
        <color rgb="FFFFFFFF"/>
        <rFont val="Arial"/>
        <family val="0"/>
        <charset val="1"/>
      </rPr>
      <t xml:space="preserve">(Sonnet)</t>
    </r>
  </si>
  <si>
    <r>
      <rPr>
        <b val="true"/>
        <sz val="10"/>
        <color rgb="FFFFFFFF"/>
        <rFont val="DejaVu Sans"/>
        <family val="2"/>
      </rPr>
      <t xml:space="preserve">顶配相遇占比 </t>
    </r>
    <r>
      <rPr>
        <b val="true"/>
        <sz val="10"/>
        <color rgb="FFFFFFFF"/>
        <rFont val="Arial"/>
        <family val="0"/>
        <charset val="1"/>
      </rPr>
      <t xml:space="preserve">(Opus)</t>
    </r>
  </si>
  <si>
    <t xml:space="preserve">早期</t>
  </si>
  <si>
    <t xml:space="preserve">成长</t>
  </si>
  <si>
    <t xml:space="preserve">规模</t>
  </si>
  <si>
    <r>
      <rPr>
        <b val="true"/>
        <sz val="11"/>
        <color rgb="FF14110F"/>
        <rFont val="Arial"/>
        <family val="0"/>
        <charset val="1"/>
      </rPr>
      <t xml:space="preserve">  Onboarding </t>
    </r>
    <r>
      <rPr>
        <b val="true"/>
        <sz val="11"/>
        <color rgb="FF14110F"/>
        <rFont val="DejaVu Sans"/>
        <family val="2"/>
      </rPr>
      <t xml:space="preserve">假设（每个新用户首次注册时跑一次）</t>
    </r>
  </si>
  <si>
    <t xml:space="preserve">项目</t>
  </si>
  <si>
    <t xml:space="preserve">值</t>
  </si>
  <si>
    <t xml:space="preserve">单位</t>
  </si>
  <si>
    <t xml:space="preserve">说明</t>
  </si>
  <si>
    <r>
      <rPr>
        <sz val="10"/>
        <color rgb="FF000000"/>
        <rFont val="DejaVu Sans"/>
        <family val="2"/>
      </rPr>
      <t xml:space="preserve">注册时深度抽取的 </t>
    </r>
    <r>
      <rPr>
        <sz val="10"/>
        <color rgb="FF000000"/>
        <rFont val="Arial"/>
        <family val="0"/>
        <charset val="1"/>
      </rPr>
      <t xml:space="preserve">token in</t>
    </r>
  </si>
  <si>
    <t xml:space="preserve">tokens</t>
  </si>
  <si>
    <r>
      <rPr>
        <i val="true"/>
        <sz val="9"/>
        <color rgb="FF6A6258"/>
        <rFont val="DejaVu Sans"/>
        <family val="2"/>
      </rPr>
      <t xml:space="preserve">用户首次写下 </t>
    </r>
    <r>
      <rPr>
        <i val="true"/>
        <sz val="9"/>
        <color rgb="FF6A6258"/>
        <rFont val="Arial"/>
        <family val="0"/>
        <charset val="1"/>
      </rPr>
      <t xml:space="preserve">"</t>
    </r>
    <r>
      <rPr>
        <i val="true"/>
        <sz val="9"/>
        <color rgb="FF6A6258"/>
        <rFont val="DejaVu Sans"/>
        <family val="2"/>
      </rPr>
      <t xml:space="preserve">最近一直在想的事</t>
    </r>
    <r>
      <rPr>
        <i val="true"/>
        <sz val="9"/>
        <color rgb="FF6A6258"/>
        <rFont val="Arial"/>
        <family val="0"/>
        <charset val="1"/>
      </rPr>
      <t xml:space="preserve">"</t>
    </r>
    <r>
      <rPr>
        <i val="true"/>
        <sz val="9"/>
        <color rgb="FF6A6258"/>
        <rFont val="DejaVu Sans"/>
        <family val="2"/>
      </rPr>
      <t xml:space="preserve">，用 </t>
    </r>
    <r>
      <rPr>
        <i val="true"/>
        <sz val="9"/>
        <color rgb="FF6A6258"/>
        <rFont val="Arial"/>
        <family val="0"/>
        <charset val="1"/>
      </rPr>
      <t xml:space="preserve">Sonnet </t>
    </r>
    <r>
      <rPr>
        <i val="true"/>
        <sz val="9"/>
        <color rgb="FF6A6258"/>
        <rFont val="DejaVu Sans"/>
        <family val="2"/>
      </rPr>
      <t xml:space="preserve">一次深度抽取</t>
    </r>
  </si>
  <si>
    <r>
      <rPr>
        <sz val="10"/>
        <color rgb="FF000000"/>
        <rFont val="DejaVu Sans"/>
        <family val="2"/>
      </rPr>
      <t xml:space="preserve">注册时深度抽取的 </t>
    </r>
    <r>
      <rPr>
        <sz val="10"/>
        <color rgb="FF000000"/>
        <rFont val="Arial"/>
        <family val="0"/>
        <charset val="1"/>
      </rPr>
      <t xml:space="preserve">token out</t>
    </r>
  </si>
  <si>
    <r>
      <rPr>
        <i val="true"/>
        <sz val="9"/>
        <color rgb="FF6A6258"/>
        <rFont val="DejaVu Sans"/>
        <family val="2"/>
      </rPr>
      <t xml:space="preserve">抽出的结构化 </t>
    </r>
    <r>
      <rPr>
        <i val="true"/>
        <sz val="9"/>
        <color rgb="FF6A6258"/>
        <rFont val="Arial"/>
        <family val="0"/>
        <charset val="1"/>
      </rPr>
      <t xml:space="preserve">KG </t>
    </r>
    <r>
      <rPr>
        <i val="true"/>
        <sz val="9"/>
        <color rgb="FF6A6258"/>
        <rFont val="DejaVu Sans"/>
        <family val="2"/>
      </rPr>
      <t xml:space="preserve">边（</t>
    </r>
    <r>
      <rPr>
        <i val="true"/>
        <sz val="9"/>
        <color rgb="FF6A6258"/>
        <rFont val="Arial"/>
        <family val="0"/>
        <charset val="1"/>
      </rPr>
      <t xml:space="preserve">JSON</t>
    </r>
    <r>
      <rPr>
        <i val="true"/>
        <sz val="9"/>
        <color rgb="FF6A6258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</si>
  <si>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月新用户占 </t>
    </r>
    <r>
      <rPr>
        <sz val="10"/>
        <color rgb="FF000000"/>
        <rFont val="Arial"/>
        <family val="0"/>
        <charset val="1"/>
      </rPr>
      <t xml:space="preserve">DAU </t>
    </r>
    <r>
      <rPr>
        <sz val="10"/>
        <color rgb="FF000000"/>
        <rFont val="DejaVu Sans"/>
        <family val="2"/>
      </rPr>
      <t xml:space="preserve">比例</t>
    </r>
  </si>
  <si>
    <r>
      <rPr>
        <i val="true"/>
        <sz val="9"/>
        <color rgb="FF6A6258"/>
        <rFont val="DejaVu Sans"/>
        <family val="2"/>
      </rPr>
      <t xml:space="preserve">假设月新增用户 </t>
    </r>
    <r>
      <rPr>
        <i val="true"/>
        <sz val="9"/>
        <color rgb="FF6A6258"/>
        <rFont val="Arial"/>
        <family val="0"/>
        <charset val="1"/>
      </rPr>
      <t xml:space="preserve">= DAU </t>
    </r>
    <r>
      <rPr>
        <i val="true"/>
        <sz val="9"/>
        <color rgb="FF6A6258"/>
        <rFont val="DejaVu Sans"/>
        <family val="2"/>
      </rPr>
      <t xml:space="preserve">的 </t>
    </r>
    <r>
      <rPr>
        <i val="true"/>
        <sz val="9"/>
        <color rgb="FF6A6258"/>
        <rFont val="Arial"/>
        <family val="0"/>
        <charset val="1"/>
      </rPr>
      <t xml:space="preserve">10%</t>
    </r>
    <r>
      <rPr>
        <i val="true"/>
        <sz val="9"/>
        <color rgb="FF6A6258"/>
        <rFont val="DejaVu Sans"/>
        <family val="2"/>
      </rPr>
      <t xml:space="preserve">（成熟期），早期会更高</t>
    </r>
  </si>
  <si>
    <r>
      <rPr>
        <b val="true"/>
        <sz val="14"/>
        <rFont val="DejaVu Sans"/>
        <family val="2"/>
      </rPr>
      <t xml:space="preserve">故知里只有两个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DejaVu Sans"/>
        <family val="2"/>
      </rPr>
      <t xml:space="preserve">调用点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DejaVu Sans"/>
        <family val="2"/>
      </rPr>
      <t xml:space="preserve">明细</t>
    </r>
  </si>
  <si>
    <r>
      <rPr>
        <i val="true"/>
        <sz val="9"/>
        <color rgb="FF6A6258"/>
        <rFont val="DejaVu Sans"/>
        <family val="2"/>
      </rPr>
      <t xml:space="preserve">所有 </t>
    </r>
    <r>
      <rPr>
        <i val="true"/>
        <sz val="9"/>
        <color rgb="FF6A6258"/>
        <rFont val="Arial"/>
        <family val="0"/>
        <charset val="1"/>
      </rPr>
      <t xml:space="preserve">KG </t>
    </r>
    <r>
      <rPr>
        <i val="true"/>
        <sz val="9"/>
        <color rgb="FF6A6258"/>
        <rFont val="DejaVu Sans"/>
        <family val="2"/>
      </rPr>
      <t xml:space="preserve">匹配、</t>
    </r>
    <r>
      <rPr>
        <i val="true"/>
        <sz val="9"/>
        <color rgb="FF6A6258"/>
        <rFont val="Arial"/>
        <family val="0"/>
        <charset val="1"/>
      </rPr>
      <t xml:space="preserve">L1/L2/L3 </t>
    </r>
    <r>
      <rPr>
        <i val="true"/>
        <sz val="9"/>
        <color rgb="FF6A6258"/>
        <rFont val="DejaVu Sans"/>
        <family val="2"/>
      </rPr>
      <t xml:space="preserve">评分、共簇统计、相遇判定、</t>
    </r>
    <r>
      <rPr>
        <i val="true"/>
        <sz val="9"/>
        <color rgb="FF6A6258"/>
        <rFont val="Arial"/>
        <family val="0"/>
        <charset val="1"/>
      </rPr>
      <t xml:space="preserve">Agent </t>
    </r>
    <r>
      <rPr>
        <i val="true"/>
        <sz val="9"/>
        <color rgb="FF6A6258"/>
        <rFont val="DejaVu Sans"/>
        <family val="2"/>
      </rPr>
      <t xml:space="preserve">移动都是确定性算法。</t>
    </r>
    <r>
      <rPr>
        <i val="true"/>
        <sz val="9"/>
        <color rgb="FF6A6258"/>
        <rFont val="Arial"/>
        <family val="0"/>
        <charset val="1"/>
      </rPr>
      <t xml:space="preserve">0 token</t>
    </r>
    <r>
      <rPr>
        <i val="true"/>
        <sz val="9"/>
        <color rgb="FF6A6258"/>
        <rFont val="DejaVu Sans"/>
        <family val="2"/>
      </rPr>
      <t xml:space="preserve">。</t>
    </r>
  </si>
  <si>
    <r>
      <rPr>
        <b val="true"/>
        <sz val="11"/>
        <color rgb="FF14110F"/>
        <rFont val="Arial"/>
        <family val="0"/>
        <charset val="1"/>
      </rPr>
      <t xml:space="preserve">  ① KG </t>
    </r>
    <r>
      <rPr>
        <b val="true"/>
        <sz val="11"/>
        <color rgb="FF14110F"/>
        <rFont val="DejaVu Sans"/>
        <family val="2"/>
      </rPr>
      <t xml:space="preserve">抽取（用户输入 → 结构化边）</t>
    </r>
  </si>
  <si>
    <t xml:space="preserve">子场景</t>
  </si>
  <si>
    <t xml:space="preserve">触发时机</t>
  </si>
  <si>
    <t xml:space="preserve">频率</t>
  </si>
  <si>
    <t xml:space="preserve">in tokens</t>
  </si>
  <si>
    <t xml:space="preserve">out tokens</t>
  </si>
  <si>
    <t xml:space="preserve">模型（路由前）</t>
  </si>
  <si>
    <t xml:space="preserve">模型（路由后）</t>
  </si>
  <si>
    <r>
      <rPr>
        <sz val="10"/>
        <color rgb="FF000000"/>
        <rFont val="Arial"/>
        <family val="0"/>
        <charset val="1"/>
      </rPr>
      <t xml:space="preserve">Onboarding </t>
    </r>
    <r>
      <rPr>
        <sz val="10"/>
        <color rgb="FF000000"/>
        <rFont val="DejaVu Sans"/>
        <family val="2"/>
      </rPr>
      <t xml:space="preserve">首次深度抽取</t>
    </r>
  </si>
  <si>
    <r>
      <rPr>
        <sz val="10"/>
        <color rgb="FF000000"/>
        <rFont val="DejaVu Sans"/>
        <family val="2"/>
      </rPr>
      <t xml:space="preserve">注册时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次</t>
    </r>
  </si>
  <si>
    <r>
      <rPr>
        <i val="true"/>
        <sz val="9"/>
        <color rgb="FF6A6258"/>
        <rFont val="DejaVu Sans"/>
        <family val="2"/>
      </rPr>
      <t xml:space="preserve">每月新用户 </t>
    </r>
    <r>
      <rPr>
        <i val="true"/>
        <sz val="9"/>
        <color rgb="FF6A6258"/>
        <rFont val="Arial"/>
        <family val="0"/>
        <charset val="1"/>
      </rPr>
      <t xml:space="preserve">= DAU × 10%</t>
    </r>
  </si>
  <si>
    <t xml:space="preserve">Sonnet</t>
  </si>
  <si>
    <r>
      <rPr>
        <i val="true"/>
        <sz val="9"/>
        <color rgb="FF6A6258"/>
        <rFont val="DejaVu Sans"/>
        <family val="2"/>
      </rPr>
      <t xml:space="preserve">保留 </t>
    </r>
    <r>
      <rPr>
        <i val="true"/>
        <sz val="9"/>
        <color rgb="FF6A6258"/>
        <rFont val="Arial"/>
        <family val="0"/>
        <charset val="1"/>
      </rPr>
      <t xml:space="preserve">Sonnet </t>
    </r>
    <r>
      <rPr>
        <i val="true"/>
        <sz val="9"/>
        <color rgb="FF6A6258"/>
        <rFont val="DejaVu Sans"/>
        <family val="2"/>
      </rPr>
      <t xml:space="preserve">抽 — 这一次决定 </t>
    </r>
    <r>
      <rPr>
        <i val="true"/>
        <sz val="9"/>
        <color rgb="FF6A6258"/>
        <rFont val="Arial"/>
        <family val="0"/>
        <charset val="1"/>
      </rPr>
      <t xml:space="preserve">KG </t>
    </r>
    <r>
      <rPr>
        <i val="true"/>
        <sz val="9"/>
        <color rgb="FF6A6258"/>
        <rFont val="DejaVu Sans"/>
        <family val="2"/>
      </rPr>
      <t xml:space="preserve">起点的质量</t>
    </r>
  </si>
  <si>
    <t xml:space="preserve">日常投喂增量抽取</t>
  </si>
  <si>
    <t xml:space="preserve">用户每次喂内容时</t>
  </si>
  <si>
    <r>
      <rPr>
        <i val="true"/>
        <sz val="9"/>
        <color rgb="FF6A6258"/>
        <rFont val="Arial"/>
        <family val="0"/>
        <charset val="1"/>
      </rPr>
      <t xml:space="preserve">DAU × </t>
    </r>
    <r>
      <rPr>
        <i val="true"/>
        <sz val="9"/>
        <color rgb="FF6A6258"/>
        <rFont val="DejaVu Sans"/>
        <family val="2"/>
      </rPr>
      <t xml:space="preserve">人均日投喂次数 </t>
    </r>
    <r>
      <rPr>
        <i val="true"/>
        <sz val="9"/>
        <color rgb="FF6A6258"/>
        <rFont val="Arial"/>
        <family val="0"/>
        <charset val="1"/>
      </rPr>
      <t xml:space="preserve">× 30</t>
    </r>
  </si>
  <si>
    <t xml:space="preserve">Haiku</t>
  </si>
  <si>
    <r>
      <rPr>
        <i val="true"/>
        <sz val="9"/>
        <color rgb="FF6A6258"/>
        <rFont val="DejaVu Sans"/>
        <family val="2"/>
      </rPr>
      <t xml:space="preserve">短文本增量</t>
    </r>
    <r>
      <rPr>
        <i val="true"/>
        <sz val="9"/>
        <color rgb="FF6A6258"/>
        <rFont val="Arial"/>
        <family val="0"/>
        <charset val="1"/>
      </rPr>
      <t xml:space="preserve">,Haiku 4.5 </t>
    </r>
    <r>
      <rPr>
        <i val="true"/>
        <sz val="9"/>
        <color rgb="FF6A6258"/>
        <rFont val="DejaVu Sans"/>
        <family val="2"/>
      </rPr>
      <t xml:space="preserve">完全够</t>
    </r>
  </si>
  <si>
    <r>
      <rPr>
        <b val="true"/>
        <sz val="11"/>
        <color rgb="FF14110F"/>
        <rFont val="DejaVu Sans"/>
        <family val="2"/>
      </rPr>
      <t xml:space="preserve">  ② 相遇推演（图算法已选定 → </t>
    </r>
    <r>
      <rPr>
        <b val="true"/>
        <sz val="11"/>
        <color rgb="FF14110F"/>
        <rFont val="Arial"/>
        <family val="0"/>
        <charset val="1"/>
      </rPr>
      <t xml:space="preserve">AI </t>
    </r>
    <r>
      <rPr>
        <b val="true"/>
        <sz val="11"/>
        <color rgb="FF14110F"/>
        <rFont val="DejaVu Sans"/>
        <family val="2"/>
      </rPr>
      <t xml:space="preserve">写那段对话）</t>
    </r>
  </si>
  <si>
    <t xml:space="preserve">普通分相遇对话</t>
  </si>
  <si>
    <t xml:space="preserve">普通分相遇</t>
  </si>
  <si>
    <r>
      <rPr>
        <i val="true"/>
        <sz val="9"/>
        <color rgb="FF6A6258"/>
        <rFont val="Arial"/>
        <family val="0"/>
        <charset val="1"/>
      </rPr>
      <t xml:space="preserve">DAU × </t>
    </r>
    <r>
      <rPr>
        <i val="true"/>
        <sz val="9"/>
        <color rgb="FF6A6258"/>
        <rFont val="DejaVu Sans"/>
        <family val="2"/>
      </rPr>
      <t xml:space="preserve">相遇</t>
    </r>
    <r>
      <rPr>
        <i val="true"/>
        <sz val="9"/>
        <color rgb="FF6A6258"/>
        <rFont val="Arial"/>
        <family val="0"/>
        <charset val="1"/>
      </rPr>
      <t xml:space="preserve">/</t>
    </r>
    <r>
      <rPr>
        <i val="true"/>
        <sz val="9"/>
        <color rgb="FF6A6258"/>
        <rFont val="DejaVu Sans"/>
        <family val="2"/>
      </rPr>
      <t xml:space="preserve">日 </t>
    </r>
    <r>
      <rPr>
        <i val="true"/>
        <sz val="9"/>
        <color rgb="FF6A6258"/>
        <rFont val="Arial"/>
        <family val="0"/>
        <charset val="1"/>
      </rPr>
      <t xml:space="preserve">× (1 - </t>
    </r>
    <r>
      <rPr>
        <i val="true"/>
        <sz val="9"/>
        <color rgb="FF6A6258"/>
        <rFont val="DejaVu Sans"/>
        <family val="2"/>
      </rPr>
      <t xml:space="preserve">高分</t>
    </r>
    <r>
      <rPr>
        <i val="true"/>
        <sz val="9"/>
        <color rgb="FF6A6258"/>
        <rFont val="Arial"/>
        <family val="0"/>
        <charset val="1"/>
      </rPr>
      <t xml:space="preserve">%) × 30</t>
    </r>
  </si>
  <si>
    <r>
      <rPr>
        <i val="true"/>
        <sz val="9"/>
        <color rgb="FF6A6258"/>
        <rFont val="DejaVu Sans"/>
        <family val="2"/>
      </rPr>
      <t xml:space="preserve">占相遇大头</t>
    </r>
    <r>
      <rPr>
        <i val="true"/>
        <sz val="9"/>
        <color rgb="FF6A6258"/>
        <rFont val="Arial"/>
        <family val="0"/>
        <charset val="1"/>
      </rPr>
      <t xml:space="preserve">(~80%),Haiku </t>
    </r>
    <r>
      <rPr>
        <i val="true"/>
        <sz val="9"/>
        <color rgb="FF6A6258"/>
        <rFont val="DejaVu Sans"/>
        <family val="2"/>
      </rPr>
      <t xml:space="preserve">输出对话已经够好</t>
    </r>
  </si>
  <si>
    <t xml:space="preserve">高分相遇深度对话</t>
  </si>
  <si>
    <r>
      <rPr>
        <sz val="10"/>
        <color rgb="FF000000"/>
        <rFont val="Arial"/>
        <family val="0"/>
        <charset val="1"/>
      </rPr>
      <t xml:space="preserve">L1/L2 </t>
    </r>
    <r>
      <rPr>
        <sz val="10"/>
        <color rgb="FF000000"/>
        <rFont val="DejaVu Sans"/>
        <family val="2"/>
      </rPr>
      <t xml:space="preserve">高分相遇</t>
    </r>
  </si>
  <si>
    <r>
      <rPr>
        <i val="true"/>
        <sz val="9"/>
        <color rgb="FF6A6258"/>
        <rFont val="Arial"/>
        <family val="0"/>
        <charset val="1"/>
      </rPr>
      <t xml:space="preserve">DAU × </t>
    </r>
    <r>
      <rPr>
        <i val="true"/>
        <sz val="9"/>
        <color rgb="FF6A6258"/>
        <rFont val="DejaVu Sans"/>
        <family val="2"/>
      </rPr>
      <t xml:space="preserve">相遇</t>
    </r>
    <r>
      <rPr>
        <i val="true"/>
        <sz val="9"/>
        <color rgb="FF6A6258"/>
        <rFont val="Arial"/>
        <family val="0"/>
        <charset val="1"/>
      </rPr>
      <t xml:space="preserve">/</t>
    </r>
    <r>
      <rPr>
        <i val="true"/>
        <sz val="9"/>
        <color rgb="FF6A6258"/>
        <rFont val="DejaVu Sans"/>
        <family val="2"/>
      </rPr>
      <t xml:space="preserve">日 </t>
    </r>
    <r>
      <rPr>
        <i val="true"/>
        <sz val="9"/>
        <color rgb="FF6A6258"/>
        <rFont val="Arial"/>
        <family val="0"/>
        <charset val="1"/>
      </rPr>
      <t xml:space="preserve">× (</t>
    </r>
    <r>
      <rPr>
        <i val="true"/>
        <sz val="9"/>
        <color rgb="FF6A6258"/>
        <rFont val="DejaVu Sans"/>
        <family val="2"/>
      </rPr>
      <t xml:space="preserve">高分</t>
    </r>
    <r>
      <rPr>
        <i val="true"/>
        <sz val="9"/>
        <color rgb="FF6A6258"/>
        <rFont val="Arial"/>
        <family val="0"/>
        <charset val="1"/>
      </rPr>
      <t xml:space="preserve">% - </t>
    </r>
    <r>
      <rPr>
        <i val="true"/>
        <sz val="9"/>
        <color rgb="FF6A6258"/>
        <rFont val="DejaVu Sans"/>
        <family val="2"/>
      </rPr>
      <t xml:space="preserve">顶配</t>
    </r>
    <r>
      <rPr>
        <i val="true"/>
        <sz val="9"/>
        <color rgb="FF6A6258"/>
        <rFont val="Arial"/>
        <family val="0"/>
        <charset val="1"/>
      </rPr>
      <t xml:space="preserve">%) × 30</t>
    </r>
  </si>
  <si>
    <r>
      <rPr>
        <i val="true"/>
        <sz val="9"/>
        <color rgb="FF6A6258"/>
        <rFont val="DejaVu Sans"/>
        <family val="2"/>
      </rPr>
      <t xml:space="preserve">高分相遇用 </t>
    </r>
    <r>
      <rPr>
        <i val="true"/>
        <sz val="9"/>
        <color rgb="FF6A6258"/>
        <rFont val="Arial"/>
        <family val="0"/>
        <charset val="1"/>
      </rPr>
      <t xml:space="preserve">Sonnet </t>
    </r>
    <r>
      <rPr>
        <i val="true"/>
        <sz val="9"/>
        <color rgb="FF6A6258"/>
        <rFont val="DejaVu Sans"/>
        <family val="2"/>
      </rPr>
      <t xml:space="preserve">写出更细腻的相遇感</t>
    </r>
  </si>
  <si>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DejaVu Sans"/>
        <family val="2"/>
      </rPr>
      <t xml:space="preserve">顶配相遇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DejaVu Sans"/>
        <family val="2"/>
      </rPr>
      <t xml:space="preserve">灵魂对话</t>
    </r>
  </si>
  <si>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DejaVu Sans"/>
        <family val="2"/>
      </rPr>
      <t xml:space="preserve">高分相遇</t>
    </r>
  </si>
  <si>
    <r>
      <rPr>
        <i val="true"/>
        <sz val="9"/>
        <color rgb="FF6A6258"/>
        <rFont val="Arial"/>
        <family val="0"/>
        <charset val="1"/>
      </rPr>
      <t xml:space="preserve">DAU × </t>
    </r>
    <r>
      <rPr>
        <i val="true"/>
        <sz val="9"/>
        <color rgb="FF6A6258"/>
        <rFont val="DejaVu Sans"/>
        <family val="2"/>
      </rPr>
      <t xml:space="preserve">相遇</t>
    </r>
    <r>
      <rPr>
        <i val="true"/>
        <sz val="9"/>
        <color rgb="FF6A6258"/>
        <rFont val="Arial"/>
        <family val="0"/>
        <charset val="1"/>
      </rPr>
      <t xml:space="preserve">/</t>
    </r>
    <r>
      <rPr>
        <i val="true"/>
        <sz val="9"/>
        <color rgb="FF6A6258"/>
        <rFont val="DejaVu Sans"/>
        <family val="2"/>
      </rPr>
      <t xml:space="preserve">日 </t>
    </r>
    <r>
      <rPr>
        <i val="true"/>
        <sz val="9"/>
        <color rgb="FF6A6258"/>
        <rFont val="Arial"/>
        <family val="0"/>
        <charset val="1"/>
      </rPr>
      <t xml:space="preserve">× </t>
    </r>
    <r>
      <rPr>
        <i val="true"/>
        <sz val="9"/>
        <color rgb="FF6A6258"/>
        <rFont val="DejaVu Sans"/>
        <family val="2"/>
      </rPr>
      <t xml:space="preserve">顶配</t>
    </r>
    <r>
      <rPr>
        <i val="true"/>
        <sz val="9"/>
        <color rgb="FF6A6258"/>
        <rFont val="Arial"/>
        <family val="0"/>
        <charset val="1"/>
      </rPr>
      <t xml:space="preserve">% × 30</t>
    </r>
  </si>
  <si>
    <t xml:space="preserve">Opus</t>
  </si>
  <si>
    <r>
      <rPr>
        <i val="true"/>
        <sz val="9"/>
        <color rgb="FF6A6258"/>
        <rFont val="DejaVu Sans"/>
        <family val="2"/>
      </rPr>
      <t xml:space="preserve">极少 — 真正的故知时刻用 </t>
    </r>
    <r>
      <rPr>
        <i val="true"/>
        <sz val="9"/>
        <color rgb="FF6A6258"/>
        <rFont val="Arial"/>
        <family val="0"/>
        <charset val="1"/>
      </rPr>
      <t xml:space="preserve">Opus </t>
    </r>
    <r>
      <rPr>
        <i val="true"/>
        <sz val="9"/>
        <color rgb="FF6A6258"/>
        <rFont val="DejaVu Sans"/>
        <family val="2"/>
      </rPr>
      <t xml:space="preserve">升级</t>
    </r>
  </si>
  <si>
    <r>
      <rPr>
        <b val="true"/>
        <sz val="14"/>
        <rFont val="DejaVu Sans"/>
        <family val="2"/>
      </rPr>
      <t xml:space="preserve">月推理成本对比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DejaVu Sans"/>
        <family val="2"/>
      </rPr>
      <t xml:space="preserve">路由前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DejaVu Sans"/>
        <family val="2"/>
      </rPr>
      <t xml:space="preserve">路由后</t>
    </r>
  </si>
  <si>
    <r>
      <rPr>
        <i val="true"/>
        <sz val="9"/>
        <color rgb="FF6A6258"/>
        <rFont val="DejaVu Sans"/>
        <family val="2"/>
      </rPr>
      <t xml:space="preserve">三档 </t>
    </r>
    <r>
      <rPr>
        <i val="true"/>
        <sz val="9"/>
        <color rgb="FF6A6258"/>
        <rFont val="Arial"/>
        <family val="0"/>
        <charset val="1"/>
      </rPr>
      <t xml:space="preserve">DAU × </t>
    </r>
    <r>
      <rPr>
        <i val="true"/>
        <sz val="9"/>
        <color rgb="FF6A6258"/>
        <rFont val="DejaVu Sans"/>
        <family val="2"/>
      </rPr>
      <t xml:space="preserve">两种路由策略 </t>
    </r>
    <r>
      <rPr>
        <i val="true"/>
        <sz val="9"/>
        <color rgb="FF6A6258"/>
        <rFont val="Arial"/>
        <family val="0"/>
        <charset val="1"/>
      </rPr>
      <t xml:space="preserve">× 5 </t>
    </r>
    <r>
      <rPr>
        <i val="true"/>
        <sz val="9"/>
        <color rgb="FF6A6258"/>
        <rFont val="DejaVu Sans"/>
        <family val="2"/>
      </rPr>
      <t xml:space="preserve">个 </t>
    </r>
    <r>
      <rPr>
        <i val="true"/>
        <sz val="9"/>
        <color rgb="FF6A6258"/>
        <rFont val="Arial"/>
        <family val="0"/>
        <charset val="1"/>
      </rPr>
      <t xml:space="preserve">AI </t>
    </r>
    <r>
      <rPr>
        <i val="true"/>
        <sz val="9"/>
        <color rgb="FF6A6258"/>
        <rFont val="DejaVu Sans"/>
        <family val="2"/>
      </rPr>
      <t xml:space="preserve">调用子场景。</t>
    </r>
  </si>
  <si>
    <r>
      <rPr>
        <b val="true"/>
        <sz val="11"/>
        <color rgb="FF14110F"/>
        <rFont val="DejaVu Sans"/>
        <family val="2"/>
      </rPr>
      <t xml:space="preserve">早期 </t>
    </r>
    <r>
      <rPr>
        <b val="true"/>
        <sz val="11"/>
        <color rgb="FF14110F"/>
        <rFont val="Arial"/>
        <family val="0"/>
        <charset val="1"/>
      </rPr>
      <t xml:space="preserve">· DAU = 1,000</t>
    </r>
  </si>
  <si>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调用子场景</t>
    </r>
  </si>
  <si>
    <t xml:space="preserve">月调用量</t>
  </si>
  <si>
    <r>
      <rPr>
        <b val="true"/>
        <sz val="10"/>
        <color rgb="FFFFFFFF"/>
        <rFont val="DejaVu Sans"/>
        <family val="2"/>
      </rPr>
      <t xml:space="preserve">路由前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DejaVu Sans"/>
        <family val="2"/>
      </rPr>
      <t xml:space="preserve">模型</t>
    </r>
  </si>
  <si>
    <r>
      <rPr>
        <b val="true"/>
        <sz val="10"/>
        <color rgb="FFFFFFFF"/>
        <rFont val="DejaVu Sans"/>
        <family val="2"/>
      </rPr>
      <t xml:space="preserve">路由前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DejaVu Sans"/>
        <family val="2"/>
      </rPr>
      <t xml:space="preserve">月成本</t>
    </r>
  </si>
  <si>
    <r>
      <rPr>
        <b val="true"/>
        <sz val="10"/>
        <color rgb="FFFFFFFF"/>
        <rFont val="DejaVu Sans"/>
        <family val="2"/>
      </rPr>
      <t xml:space="preserve">路由后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DejaVu Sans"/>
        <family val="2"/>
      </rPr>
      <t xml:space="preserve">模型</t>
    </r>
  </si>
  <si>
    <r>
      <rPr>
        <b val="true"/>
        <sz val="10"/>
        <color rgb="FFFFFFFF"/>
        <rFont val="DejaVu Sans"/>
        <family val="2"/>
      </rPr>
      <t xml:space="preserve">路由后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DejaVu Sans"/>
        <family val="2"/>
      </rPr>
      <t xml:space="preserve">月成本</t>
    </r>
  </si>
  <si>
    <r>
      <rPr>
        <b val="true"/>
        <sz val="10"/>
        <color rgb="FFFFFFFF"/>
        <rFont val="DejaVu Sans"/>
        <family val="2"/>
      </rPr>
      <t xml:space="preserve">节省 </t>
    </r>
    <r>
      <rPr>
        <b val="true"/>
        <sz val="10"/>
        <color rgb="FFFFFFFF"/>
        <rFont val="Arial"/>
        <family val="0"/>
        <charset val="1"/>
      </rPr>
      <t xml:space="preserve">$</t>
    </r>
  </si>
  <si>
    <r>
      <rPr>
        <b val="true"/>
        <sz val="10"/>
        <color rgb="FFFFFFFF"/>
        <rFont val="DejaVu Sans"/>
        <family val="2"/>
      </rPr>
      <t xml:space="preserve">节省 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</si>
  <si>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DejaVu Sans"/>
        <family val="2"/>
      </rPr>
      <t xml:space="preserve">顶配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DejaVu Sans"/>
        <family val="2"/>
      </rPr>
      <t xml:space="preserve">灵魂对话</t>
    </r>
  </si>
  <si>
    <r>
      <rPr>
        <b val="true"/>
        <sz val="10"/>
        <rFont val="DejaVu Sans"/>
        <family val="2"/>
      </rPr>
      <t xml:space="preserve">合计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DejaVu Sans"/>
        <family val="2"/>
      </rPr>
      <t xml:space="preserve">月成本</t>
    </r>
  </si>
  <si>
    <r>
      <rPr>
        <b val="true"/>
        <sz val="11"/>
        <color rgb="FF14110F"/>
        <rFont val="DejaVu Sans"/>
        <family val="2"/>
      </rPr>
      <t xml:space="preserve">成长 </t>
    </r>
    <r>
      <rPr>
        <b val="true"/>
        <sz val="11"/>
        <color rgb="FF14110F"/>
        <rFont val="Arial"/>
        <family val="0"/>
        <charset val="1"/>
      </rPr>
      <t xml:space="preserve">· DAU = 10,000</t>
    </r>
  </si>
  <si>
    <r>
      <rPr>
        <b val="true"/>
        <sz val="11"/>
        <color rgb="FF14110F"/>
        <rFont val="DejaVu Sans"/>
        <family val="2"/>
      </rPr>
      <t xml:space="preserve">规模 </t>
    </r>
    <r>
      <rPr>
        <b val="true"/>
        <sz val="11"/>
        <color rgb="FF14110F"/>
        <rFont val="Arial"/>
        <family val="0"/>
        <charset val="1"/>
      </rPr>
      <t xml:space="preserve">· DAU = 100,000</t>
    </r>
  </si>
  <si>
    <t xml:space="preserve">  跨档摘要</t>
  </si>
  <si>
    <r>
      <rPr>
        <b val="true"/>
        <sz val="10"/>
        <color rgb="FFFFFFFF"/>
        <rFont val="Arial"/>
        <family val="0"/>
        <charset val="1"/>
      </rPr>
      <t xml:space="preserve">DAU </t>
    </r>
    <r>
      <rPr>
        <b val="true"/>
        <sz val="10"/>
        <color rgb="FFFFFFFF"/>
        <rFont val="DejaVu Sans"/>
        <family val="2"/>
      </rPr>
      <t xml:space="preserve">档位</t>
    </r>
  </si>
  <si>
    <t xml:space="preserve">路由前 月成本</t>
  </si>
  <si>
    <t xml:space="preserve">路由后 月成本</t>
  </si>
  <si>
    <r>
      <rPr>
        <b val="true"/>
        <sz val="10"/>
        <color rgb="FFFFFFFF"/>
        <rFont val="DejaVu Sans"/>
        <family val="2"/>
      </rPr>
      <t xml:space="preserve">路由前 单 </t>
    </r>
    <r>
      <rPr>
        <b val="true"/>
        <sz val="10"/>
        <color rgb="FFFFFFFF"/>
        <rFont val="Arial"/>
        <family val="0"/>
        <charset val="1"/>
      </rPr>
      <t xml:space="preserve">DAU/</t>
    </r>
    <r>
      <rPr>
        <b val="true"/>
        <sz val="10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</si>
  <si>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DejaVu Sans"/>
        <family val="2"/>
      </rPr>
      <t xml:space="preserve">路由后 单 </t>
    </r>
    <r>
      <rPr>
        <b val="true"/>
        <sz val="10"/>
        <color rgb="FFFFFFFF"/>
        <rFont val="Arial"/>
        <family val="0"/>
        <charset val="1"/>
      </rPr>
      <t xml:space="preserve">DAU/</t>
    </r>
    <r>
      <rPr>
        <b val="true"/>
        <sz val="10"/>
        <color rgb="FFFFFFFF"/>
        <rFont val="DejaVu Sans"/>
        <family val="2"/>
      </rPr>
      <t xml:space="preserve">月</t>
    </r>
  </si>
  <si>
    <r>
      <rPr>
        <i val="true"/>
        <sz val="9"/>
        <color rgb="FF6A6258"/>
        <rFont val="Arial"/>
        <family val="0"/>
        <charset val="1"/>
      </rPr>
      <t xml:space="preserve">POC </t>
    </r>
    <r>
      <rPr>
        <i val="true"/>
        <sz val="9"/>
        <color rgb="FF6A6258"/>
        <rFont val="DejaVu Sans"/>
        <family val="2"/>
      </rPr>
      <t xml:space="preserve">早期 </t>
    </r>
    <r>
      <rPr>
        <i val="true"/>
        <sz val="9"/>
        <color rgb="FF6A6258"/>
        <rFont val="Arial"/>
        <family val="0"/>
        <charset val="1"/>
      </rPr>
      <t xml:space="preserve">· token </t>
    </r>
    <r>
      <rPr>
        <i val="true"/>
        <sz val="9"/>
        <color rgb="FF6A6258"/>
        <rFont val="DejaVu Sans"/>
        <family val="2"/>
      </rPr>
      <t xml:space="preserve">主要在 </t>
    </r>
    <r>
      <rPr>
        <i val="true"/>
        <sz val="9"/>
        <color rgb="FF6A6258"/>
        <rFont val="Arial"/>
        <family val="0"/>
        <charset val="1"/>
      </rPr>
      <t xml:space="preserve">narrate</t>
    </r>
  </si>
  <si>
    <r>
      <rPr>
        <i val="true"/>
        <sz val="9"/>
        <color rgb="FF6A6258"/>
        <rFont val="Arial"/>
        <family val="0"/>
        <charset val="1"/>
      </rPr>
      <t xml:space="preserve">Phase 2 </t>
    </r>
    <r>
      <rPr>
        <i val="true"/>
        <sz val="9"/>
        <color rgb="FF6A6258"/>
        <rFont val="DejaVu Sans"/>
        <family val="2"/>
      </rPr>
      <t xml:space="preserve">中期</t>
    </r>
  </si>
  <si>
    <t xml:space="preserve">规模化</t>
  </si>
  <si>
    <r>
      <rPr>
        <i val="true"/>
        <sz val="9"/>
        <color rgb="FF6A6258"/>
        <rFont val="DejaVu Sans"/>
        <family val="2"/>
      </rPr>
      <t xml:space="preserve">备注 </t>
    </r>
    <r>
      <rPr>
        <i val="true"/>
        <sz val="9"/>
        <color rgb="FF6A6258"/>
        <rFont val="Arial"/>
        <family val="0"/>
        <charset val="1"/>
      </rPr>
      <t xml:space="preserve">1</t>
    </r>
    <r>
      <rPr>
        <i val="true"/>
        <sz val="9"/>
        <color rgb="FF6A6258"/>
        <rFont val="DejaVu Sans"/>
        <family val="2"/>
      </rPr>
      <t xml:space="preserve">：本表是 </t>
    </r>
    <r>
      <rPr>
        <i val="true"/>
        <sz val="9"/>
        <color rgb="FF6A6258"/>
        <rFont val="Arial"/>
        <family val="0"/>
        <charset val="1"/>
      </rPr>
      <t xml:space="preserve">token </t>
    </r>
    <r>
      <rPr>
        <i val="true"/>
        <sz val="9"/>
        <color rgb="FF6A6258"/>
        <rFont val="DejaVu Sans"/>
        <family val="2"/>
      </rPr>
      <t xml:space="preserve">推理成本。</t>
    </r>
    <r>
      <rPr>
        <i val="true"/>
        <sz val="9"/>
        <color rgb="FF6A6258"/>
        <rFont val="Arial"/>
        <family val="0"/>
        <charset val="1"/>
      </rPr>
      <t xml:space="preserve">KG </t>
    </r>
    <r>
      <rPr>
        <i val="true"/>
        <sz val="9"/>
        <color rgb="FF6A6258"/>
        <rFont val="DejaVu Sans"/>
        <family val="2"/>
      </rPr>
      <t xml:space="preserve">匹配本身 </t>
    </r>
    <r>
      <rPr>
        <i val="true"/>
        <sz val="9"/>
        <color rgb="FF6A6258"/>
        <rFont val="Arial"/>
        <family val="0"/>
        <charset val="1"/>
      </rPr>
      <t xml:space="preserve">0 token</t>
    </r>
    <r>
      <rPr>
        <i val="true"/>
        <sz val="9"/>
        <color rgb="FF6A6258"/>
        <rFont val="DejaVu Sans"/>
        <family val="2"/>
      </rPr>
      <t xml:space="preserve">（确定性图算法），所以这里只列两个真正消耗 </t>
    </r>
    <r>
      <rPr>
        <i val="true"/>
        <sz val="9"/>
        <color rgb="FF6A6258"/>
        <rFont val="Arial"/>
        <family val="0"/>
        <charset val="1"/>
      </rPr>
      <t xml:space="preserve">token </t>
    </r>
    <r>
      <rPr>
        <i val="true"/>
        <sz val="9"/>
        <color rgb="FF6A6258"/>
        <rFont val="DejaVu Sans"/>
        <family val="2"/>
      </rPr>
      <t xml:space="preserve">的调用点。</t>
    </r>
  </si>
  <si>
    <r>
      <rPr>
        <i val="true"/>
        <sz val="9"/>
        <color rgb="FF6A6258"/>
        <rFont val="DejaVu Sans"/>
        <family val="2"/>
      </rPr>
      <t xml:space="preserve">备注 </t>
    </r>
    <r>
      <rPr>
        <i val="true"/>
        <sz val="9"/>
        <color rgb="FF6A6258"/>
        <rFont val="Arial"/>
        <family val="0"/>
        <charset val="1"/>
      </rPr>
      <t xml:space="preserve">2</t>
    </r>
    <r>
      <rPr>
        <i val="true"/>
        <sz val="9"/>
        <color rgb="FF6A6258"/>
        <rFont val="DejaVu Sans"/>
        <family val="2"/>
      </rPr>
      <t xml:space="preserve">：本表未含基础设施成本（数据库、向量库、</t>
    </r>
    <r>
      <rPr>
        <i val="true"/>
        <sz val="9"/>
        <color rgb="FF6A6258"/>
        <rFont val="Arial"/>
        <family val="0"/>
        <charset val="1"/>
      </rPr>
      <t xml:space="preserve">K8s</t>
    </r>
    <r>
      <rPr>
        <i val="true"/>
        <sz val="9"/>
        <color rgb="FF6A6258"/>
        <rFont val="DejaVu Sans"/>
        <family val="2"/>
      </rPr>
      <t xml:space="preserve">、监控）。这些在 </t>
    </r>
    <r>
      <rPr>
        <i val="true"/>
        <sz val="9"/>
        <color rgb="FF6A6258"/>
        <rFont val="Arial"/>
        <family val="0"/>
        <charset val="1"/>
      </rPr>
      <t xml:space="preserve">DAU </t>
    </r>
    <r>
      <rPr>
        <i val="true"/>
        <sz val="9"/>
        <color rgb="FF6A6258"/>
        <rFont val="DejaVu Sans"/>
        <family val="2"/>
      </rPr>
      <t xml:space="preserve">千级时月千美元量级，规模化时月数万美元量级。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</si>
</sst>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00;&quot;($&quot;#,##0.0000\);\-"/>
    <numFmt numFmtId="166" formatCode="#,##0;\(#,##0\);\-"/>
    <numFmt numFmtId="167" formatCode="0.0"/>
    <numFmt numFmtId="168" formatCode="0.0%;\(0.0%\);\-"/>
    <numFmt numFmtId="169" formatCode="\$#,##0;&quot;($&quot;#,##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10F"/>
      <name val="DejaVu Sans"/>
      <family val="2"/>
    </font>
    <font>
      <b val="true"/>
      <sz val="14"/>
      <color rgb="FF14110F"/>
      <name val="Arial"/>
      <family val="0"/>
      <charset val="1"/>
    </font>
    <font>
      <i val="true"/>
      <sz val="9"/>
      <color rgb="FF6A6258"/>
      <name val="DejaVu Sans"/>
      <family val="2"/>
    </font>
    <font>
      <i val="true"/>
      <sz val="9"/>
      <color rgb="FF6A6258"/>
      <name val="Arial"/>
      <family val="0"/>
      <charset val="1"/>
    </font>
    <font>
      <i val="true"/>
      <sz val="10"/>
      <color rgb="FFB4654A"/>
      <name val="DejaVu Sans"/>
      <family val="2"/>
    </font>
    <font>
      <i val="true"/>
      <sz val="10"/>
      <color rgb="FFB4654A"/>
      <name val="Arial"/>
      <family val="0"/>
      <charset val="1"/>
    </font>
    <font>
      <b val="true"/>
      <sz val="11"/>
      <color rgb="FF14110F"/>
      <name val="DejaVu Sans"/>
      <family val="2"/>
    </font>
    <font>
      <b val="true"/>
      <sz val="11"/>
      <color rgb="FF14110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DejaVu Sans"/>
      <family val="2"/>
    </font>
    <font>
      <b val="true"/>
      <sz val="14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B4654A"/>
      <name val="Arial"/>
      <family val="0"/>
      <charset val="1"/>
    </font>
    <font>
      <b val="true"/>
      <sz val="11"/>
      <color rgb="FF7FA68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0A05A"/>
        <bgColor rgb="FFFF9900"/>
      </patternFill>
    </fill>
    <fill>
      <patternFill patternType="solid">
        <fgColor rgb="FF2A241F"/>
        <bgColor rgb="FF333300"/>
      </patternFill>
    </fill>
    <fill>
      <patternFill patternType="solid">
        <fgColor rgb="FFFAF7F2"/>
        <bgColor rgb="FFFFFFFF"/>
      </patternFill>
    </fill>
    <fill>
      <patternFill patternType="solid">
        <fgColor rgb="FFFFF4D6"/>
        <bgColor rgb="FFFAF7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BFA8"/>
      </left>
      <right style="thin">
        <color rgb="FFC8BFA8"/>
      </right>
      <top style="thin">
        <color rgb="FFC8BFA8"/>
      </top>
      <bottom style="thin">
        <color rgb="FFC8BF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FA8"/>
      <rgbColor rgb="FFB4654A"/>
      <rgbColor rgb="FF9999FF"/>
      <rgbColor rgb="FF993366"/>
      <rgbColor rgb="FFFFF4D6"/>
      <rgbColor rgb="FFFAF7F2"/>
      <rgbColor rgb="FF660066"/>
      <rgbColor rgb="FFE0A05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258"/>
      <rgbColor rgb="FF7FA68A"/>
      <rgbColor rgb="FF003366"/>
      <rgbColor rgb="FF339966"/>
      <rgbColor rgb="FF14110F"/>
      <rgbColor rgb="FF333300"/>
      <rgbColor rgb="FF993300"/>
      <rgbColor rgb="FF993366"/>
      <rgbColor rgb="FF333399"/>
      <rgbColor rgb="FF2A24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6" min="5" style="0" width="12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2.6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4.9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false" outlineLevel="0" collapsed="false">
      <c r="A7" s="6" t="s">
        <v>10</v>
      </c>
      <c r="B7" s="7" t="s">
        <v>11</v>
      </c>
      <c r="C7" s="8" t="n">
        <v>1</v>
      </c>
      <c r="D7" s="8" t="n">
        <v>5</v>
      </c>
      <c r="E7" s="6" t="s">
        <v>12</v>
      </c>
      <c r="F7" s="9" t="s">
        <v>13</v>
      </c>
    </row>
    <row r="8" customFormat="false" ht="15" hidden="false" customHeight="false" outlineLevel="0" collapsed="false">
      <c r="A8" s="10" t="s">
        <v>14</v>
      </c>
      <c r="B8" s="11" t="s">
        <v>15</v>
      </c>
      <c r="C8" s="12" t="n">
        <v>3</v>
      </c>
      <c r="D8" s="12" t="n">
        <v>15</v>
      </c>
      <c r="E8" s="10" t="s">
        <v>16</v>
      </c>
      <c r="F8" s="13" t="s">
        <v>13</v>
      </c>
    </row>
    <row r="9" customFormat="false" ht="15" hidden="false" customHeight="false" outlineLevel="0" collapsed="false">
      <c r="A9" s="6" t="s">
        <v>17</v>
      </c>
      <c r="B9" s="7" t="s">
        <v>18</v>
      </c>
      <c r="C9" s="8" t="n">
        <v>15</v>
      </c>
      <c r="D9" s="8" t="n">
        <v>75</v>
      </c>
      <c r="E9" s="14" t="s">
        <v>19</v>
      </c>
      <c r="F9" s="9" t="s">
        <v>13</v>
      </c>
    </row>
    <row r="12" customFormat="false" ht="14.9" hidden="false" customHeight="false" outlineLevel="0" collapsed="false">
      <c r="A12" s="15" t="s">
        <v>20</v>
      </c>
      <c r="B12" s="15"/>
      <c r="C12" s="15"/>
      <c r="D12" s="15"/>
      <c r="E12" s="15"/>
      <c r="F12" s="15"/>
    </row>
    <row r="13" customFormat="false" ht="31.5" hidden="false" customHeight="true" outlineLevel="0" collapsed="false">
      <c r="A13" s="5" t="s">
        <v>5</v>
      </c>
      <c r="B13" s="16" t="s">
        <v>21</v>
      </c>
      <c r="C13" s="5" t="s">
        <v>22</v>
      </c>
      <c r="D13" s="5" t="s">
        <v>23</v>
      </c>
      <c r="E13" s="5" t="s">
        <v>24</v>
      </c>
      <c r="F13" s="5" t="s">
        <v>25</v>
      </c>
    </row>
    <row r="14" customFormat="false" ht="15" hidden="false" customHeight="false" outlineLevel="0" collapsed="false">
      <c r="A14" s="7" t="s">
        <v>26</v>
      </c>
      <c r="B14" s="17" t="n">
        <v>1000</v>
      </c>
      <c r="C14" s="18" t="n">
        <v>1.5</v>
      </c>
      <c r="D14" s="18" t="n">
        <v>1.2</v>
      </c>
      <c r="E14" s="19" t="n">
        <v>0.18</v>
      </c>
      <c r="F14" s="19" t="n">
        <v>0.05</v>
      </c>
    </row>
    <row r="15" customFormat="false" ht="15" hidden="false" customHeight="false" outlineLevel="0" collapsed="false">
      <c r="A15" s="11" t="s">
        <v>27</v>
      </c>
      <c r="B15" s="20" t="n">
        <v>10000</v>
      </c>
      <c r="C15" s="21" t="n">
        <v>2</v>
      </c>
      <c r="D15" s="21" t="n">
        <v>1.5</v>
      </c>
      <c r="E15" s="22" t="n">
        <v>0.2</v>
      </c>
      <c r="F15" s="22" t="n">
        <v>0.05</v>
      </c>
    </row>
    <row r="16" customFormat="false" ht="15" hidden="false" customHeight="false" outlineLevel="0" collapsed="false">
      <c r="A16" s="7" t="s">
        <v>28</v>
      </c>
      <c r="B16" s="17" t="n">
        <v>100000</v>
      </c>
      <c r="C16" s="18" t="n">
        <v>2.5</v>
      </c>
      <c r="D16" s="18" t="n">
        <v>1.8</v>
      </c>
      <c r="E16" s="19" t="n">
        <v>0.22</v>
      </c>
      <c r="F16" s="19" t="n">
        <v>0.05</v>
      </c>
    </row>
    <row r="19" customFormat="false" ht="14.9" hidden="false" customHeight="false" outlineLevel="0" collapsed="false">
      <c r="A19" s="15" t="s">
        <v>29</v>
      </c>
      <c r="B19" s="15"/>
      <c r="C19" s="15"/>
      <c r="D19" s="15"/>
      <c r="E19" s="15"/>
      <c r="F19" s="15"/>
    </row>
    <row r="20" customFormat="false" ht="31.5" hidden="false" customHeight="true" outlineLevel="0" collapsed="false">
      <c r="A20" s="5" t="s">
        <v>30</v>
      </c>
      <c r="B20" s="5" t="s">
        <v>31</v>
      </c>
      <c r="C20" s="5" t="s">
        <v>32</v>
      </c>
      <c r="D20" s="5" t="s">
        <v>33</v>
      </c>
      <c r="E20" s="5"/>
      <c r="F20" s="5"/>
    </row>
    <row r="21" customFormat="false" ht="15" hidden="false" customHeight="false" outlineLevel="0" collapsed="false">
      <c r="A21" s="14" t="s">
        <v>34</v>
      </c>
      <c r="B21" s="17" t="n">
        <v>3000</v>
      </c>
      <c r="C21" s="23" t="s">
        <v>35</v>
      </c>
      <c r="D21" s="24" t="s">
        <v>36</v>
      </c>
    </row>
    <row r="22" customFormat="false" ht="15" hidden="false" customHeight="false" outlineLevel="0" collapsed="false">
      <c r="A22" s="14" t="s">
        <v>37</v>
      </c>
      <c r="B22" s="17" t="n">
        <v>1500</v>
      </c>
      <c r="C22" s="23" t="s">
        <v>35</v>
      </c>
      <c r="D22" s="24" t="s">
        <v>38</v>
      </c>
    </row>
    <row r="23" customFormat="false" ht="15" hidden="false" customHeight="false" outlineLevel="0" collapsed="false">
      <c r="A23" s="14" t="s">
        <v>39</v>
      </c>
      <c r="B23" s="19" t="n">
        <v>0.1</v>
      </c>
      <c r="C23" s="25"/>
      <c r="D23" s="24" t="s">
        <v>40</v>
      </c>
    </row>
  </sheetData>
  <mergeCells count="6">
    <mergeCell ref="A1:F1"/>
    <mergeCell ref="A2:F2"/>
    <mergeCell ref="A3:F3"/>
    <mergeCell ref="A5:F5"/>
    <mergeCell ref="A12:F1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28"/>
  </cols>
  <sheetData>
    <row r="1" customFormat="false" ht="17.9" hidden="false" customHeight="false" outlineLevel="0" collapsed="false">
      <c r="A1" s="26" t="s">
        <v>41</v>
      </c>
      <c r="B1" s="26"/>
      <c r="C1" s="26"/>
      <c r="D1" s="26"/>
      <c r="E1" s="26"/>
      <c r="F1" s="26"/>
      <c r="G1" s="26"/>
      <c r="H1" s="26"/>
    </row>
    <row r="2" customFormat="false" ht="11.9" hidden="false" customHeight="false" outlineLevel="0" collapsed="false">
      <c r="A2" s="2" t="s">
        <v>42</v>
      </c>
      <c r="B2" s="2"/>
      <c r="C2" s="2"/>
      <c r="D2" s="2"/>
      <c r="E2" s="2"/>
      <c r="F2" s="2"/>
      <c r="G2" s="2"/>
      <c r="H2" s="2"/>
    </row>
    <row r="4" customFormat="false" ht="14.9" hidden="false" customHeight="false" outlineLevel="0" collapsed="false">
      <c r="A4" s="15" t="s">
        <v>43</v>
      </c>
      <c r="B4" s="15"/>
      <c r="C4" s="15"/>
      <c r="D4" s="15"/>
      <c r="E4" s="15"/>
      <c r="F4" s="15"/>
      <c r="G4" s="15"/>
      <c r="H4" s="15"/>
    </row>
    <row r="5" customFormat="false" ht="31.5" hidden="false" customHeight="true" outlineLevel="0" collapsed="false">
      <c r="A5" s="5" t="s">
        <v>44</v>
      </c>
      <c r="B5" s="5" t="s">
        <v>45</v>
      </c>
      <c r="C5" s="5" t="s">
        <v>46</v>
      </c>
      <c r="D5" s="16" t="s">
        <v>47</v>
      </c>
      <c r="E5" s="16" t="s">
        <v>48</v>
      </c>
      <c r="F5" s="5" t="s">
        <v>49</v>
      </c>
      <c r="G5" s="5" t="s">
        <v>50</v>
      </c>
      <c r="H5" s="5" t="s">
        <v>33</v>
      </c>
    </row>
    <row r="6" customFormat="false" ht="15" hidden="false" customHeight="false" outlineLevel="0" collapsed="false">
      <c r="A6" s="6" t="s">
        <v>51</v>
      </c>
      <c r="B6" s="14" t="s">
        <v>52</v>
      </c>
      <c r="C6" s="24" t="s">
        <v>53</v>
      </c>
      <c r="D6" s="17" t="n">
        <v>3000</v>
      </c>
      <c r="E6" s="17" t="n">
        <v>1500</v>
      </c>
      <c r="F6" s="23" t="s">
        <v>54</v>
      </c>
      <c r="G6" s="23" t="s">
        <v>54</v>
      </c>
      <c r="H6" s="24" t="s">
        <v>55</v>
      </c>
    </row>
    <row r="7" customFormat="false" ht="15" hidden="false" customHeight="false" outlineLevel="0" collapsed="false">
      <c r="A7" s="27" t="s">
        <v>56</v>
      </c>
      <c r="B7" s="27" t="s">
        <v>57</v>
      </c>
      <c r="C7" s="13" t="s">
        <v>58</v>
      </c>
      <c r="D7" s="20" t="n">
        <v>400</v>
      </c>
      <c r="E7" s="20" t="n">
        <v>200</v>
      </c>
      <c r="F7" s="28" t="s">
        <v>54</v>
      </c>
      <c r="G7" s="28" t="s">
        <v>59</v>
      </c>
      <c r="H7" s="29" t="s">
        <v>60</v>
      </c>
    </row>
    <row r="9" customFormat="false" ht="14.9" hidden="false" customHeight="false" outlineLevel="0" collapsed="false">
      <c r="A9" s="4" t="s">
        <v>61</v>
      </c>
      <c r="B9" s="4"/>
      <c r="C9" s="4"/>
      <c r="D9" s="4"/>
      <c r="E9" s="4"/>
      <c r="F9" s="4"/>
      <c r="G9" s="4"/>
      <c r="H9" s="4"/>
    </row>
    <row r="10" customFormat="false" ht="31.5" hidden="false" customHeight="true" outlineLevel="0" collapsed="false">
      <c r="A10" s="5" t="s">
        <v>44</v>
      </c>
      <c r="B10" s="5" t="s">
        <v>45</v>
      </c>
      <c r="C10" s="5" t="s">
        <v>46</v>
      </c>
      <c r="D10" s="16" t="s">
        <v>47</v>
      </c>
      <c r="E10" s="16" t="s">
        <v>48</v>
      </c>
      <c r="F10" s="5" t="s">
        <v>49</v>
      </c>
      <c r="G10" s="5" t="s">
        <v>50</v>
      </c>
      <c r="H10" s="5" t="s">
        <v>33</v>
      </c>
    </row>
    <row r="11" customFormat="false" ht="15" hidden="false" customHeight="false" outlineLevel="0" collapsed="false">
      <c r="A11" s="14" t="s">
        <v>62</v>
      </c>
      <c r="B11" s="14" t="s">
        <v>63</v>
      </c>
      <c r="C11" s="9" t="s">
        <v>64</v>
      </c>
      <c r="D11" s="17" t="n">
        <v>1500</v>
      </c>
      <c r="E11" s="17" t="n">
        <v>800</v>
      </c>
      <c r="F11" s="23" t="s">
        <v>54</v>
      </c>
      <c r="G11" s="23" t="s">
        <v>59</v>
      </c>
      <c r="H11" s="24" t="s">
        <v>65</v>
      </c>
    </row>
    <row r="12" customFormat="false" ht="15" hidden="false" customHeight="false" outlineLevel="0" collapsed="false">
      <c r="A12" s="27" t="s">
        <v>66</v>
      </c>
      <c r="B12" s="10" t="s">
        <v>67</v>
      </c>
      <c r="C12" s="13" t="s">
        <v>68</v>
      </c>
      <c r="D12" s="20" t="n">
        <v>2500</v>
      </c>
      <c r="E12" s="20" t="n">
        <v>1200</v>
      </c>
      <c r="F12" s="28" t="s">
        <v>54</v>
      </c>
      <c r="G12" s="28" t="s">
        <v>54</v>
      </c>
      <c r="H12" s="29" t="s">
        <v>69</v>
      </c>
    </row>
    <row r="13" customFormat="false" ht="15" hidden="false" customHeight="false" outlineLevel="0" collapsed="false">
      <c r="A13" s="6" t="s">
        <v>70</v>
      </c>
      <c r="B13" s="6" t="s">
        <v>71</v>
      </c>
      <c r="C13" s="9" t="s">
        <v>72</v>
      </c>
      <c r="D13" s="17" t="n">
        <v>3000</v>
      </c>
      <c r="E13" s="17" t="n">
        <v>1500</v>
      </c>
      <c r="F13" s="23" t="s">
        <v>54</v>
      </c>
      <c r="G13" s="23" t="s">
        <v>73</v>
      </c>
      <c r="H13" s="24" t="s">
        <v>74</v>
      </c>
    </row>
  </sheetData>
  <mergeCells count="4">
    <mergeCell ref="A1:H1"/>
    <mergeCell ref="A2:H2"/>
    <mergeCell ref="A4:H4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28"/>
  </cols>
  <sheetData>
    <row r="1" customFormat="false" ht="17.9" hidden="false" customHeight="false" outlineLevel="0" collapsed="false">
      <c r="A1" s="26" t="s">
        <v>75</v>
      </c>
      <c r="B1" s="26"/>
      <c r="C1" s="26"/>
      <c r="D1" s="26"/>
      <c r="E1" s="26"/>
      <c r="F1" s="26"/>
      <c r="G1" s="26"/>
      <c r="H1" s="26"/>
    </row>
    <row r="2" customFormat="false" ht="11.9" hidden="false" customHeight="false" outlineLevel="0" collapsed="false">
      <c r="A2" s="2" t="s">
        <v>76</v>
      </c>
      <c r="B2" s="2"/>
      <c r="C2" s="2"/>
      <c r="D2" s="2"/>
      <c r="E2" s="2"/>
      <c r="F2" s="2"/>
      <c r="G2" s="2"/>
      <c r="H2" s="2"/>
    </row>
    <row r="4" customFormat="false" ht="14.9" hidden="false" customHeight="false" outlineLevel="0" collapsed="false">
      <c r="A4" s="4" t="s">
        <v>77</v>
      </c>
      <c r="B4" s="4"/>
      <c r="C4" s="4"/>
      <c r="D4" s="4"/>
      <c r="E4" s="4"/>
      <c r="F4" s="4"/>
      <c r="G4" s="4"/>
      <c r="H4" s="4"/>
    </row>
    <row r="5" customFormat="false" ht="31.5" hidden="false" customHeight="true" outlineLevel="0" collapsed="false">
      <c r="A5" s="16" t="s">
        <v>78</v>
      </c>
      <c r="B5" s="5" t="s">
        <v>79</v>
      </c>
      <c r="C5" s="5" t="s">
        <v>80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</row>
    <row r="6" customFormat="false" ht="15" hidden="false" customHeight="false" outlineLevel="0" collapsed="false">
      <c r="A6" s="6" t="s">
        <v>51</v>
      </c>
      <c r="B6" s="30" t="n">
        <f aca="false">假设!B14*假设!B23</f>
        <v>100</v>
      </c>
      <c r="C6" s="23" t="s">
        <v>54</v>
      </c>
      <c r="D6" s="31" t="n">
        <f aca="false">(假设!B14*假设!B23)*(3000*假设!C8+1500*假设!D8)/1000000</f>
        <v>3.15</v>
      </c>
      <c r="E6" s="23" t="s">
        <v>54</v>
      </c>
      <c r="F6" s="31" t="n">
        <f aca="false">(假设!B14*假设!B23)*(3000*假设!C8+1500*假设!D8)/1000000</f>
        <v>3.15</v>
      </c>
      <c r="G6" s="31" t="n">
        <f aca="false">D6-F6</f>
        <v>0</v>
      </c>
      <c r="H6" s="32" t="n">
        <f aca="false">IF(D6=0,0,1-F6/D6)</f>
        <v>0</v>
      </c>
    </row>
    <row r="7" customFormat="false" ht="15" hidden="false" customHeight="false" outlineLevel="0" collapsed="false">
      <c r="A7" s="27" t="s">
        <v>56</v>
      </c>
      <c r="B7" s="33" t="n">
        <f aca="false">假设!B14*假设!C14*30</f>
        <v>45000</v>
      </c>
      <c r="C7" s="28" t="s">
        <v>54</v>
      </c>
      <c r="D7" s="34" t="n">
        <f aca="false">(假设!B14*假设!C14*30)*(400*假设!C8+200*假设!D8)/1000000</f>
        <v>189</v>
      </c>
      <c r="E7" s="28" t="s">
        <v>59</v>
      </c>
      <c r="F7" s="34" t="n">
        <f aca="false">(假设!B14*假设!C14*30)*(400*假设!C7+200*假设!D7)/1000000</f>
        <v>63</v>
      </c>
      <c r="G7" s="34" t="n">
        <f aca="false">D7-F7</f>
        <v>126</v>
      </c>
      <c r="H7" s="35" t="n">
        <f aca="false">IF(D7=0,0,1-F7/D7)</f>
        <v>0.666666666666667</v>
      </c>
    </row>
    <row r="8" customFormat="false" ht="15" hidden="false" customHeight="false" outlineLevel="0" collapsed="false">
      <c r="A8" s="14" t="s">
        <v>62</v>
      </c>
      <c r="B8" s="30" t="n">
        <f aca="false">假设!B14*假设!D14*30*(1-假设!E14)</f>
        <v>29520</v>
      </c>
      <c r="C8" s="23" t="s">
        <v>54</v>
      </c>
      <c r="D8" s="31" t="n">
        <f aca="false">(假设!B14*假设!D14*30*(1-假设!E14))*(1500*假设!C8+800*假设!D8)/1000000</f>
        <v>487.08</v>
      </c>
      <c r="E8" s="23" t="s">
        <v>59</v>
      </c>
      <c r="F8" s="31" t="n">
        <f aca="false">(假设!B14*假设!D14*30*(1-假设!E14))*(1500*假设!C7+800*假设!D7)/1000000</f>
        <v>162.36</v>
      </c>
      <c r="G8" s="31" t="n">
        <f aca="false">D8-F8</f>
        <v>324.72</v>
      </c>
      <c r="H8" s="32" t="n">
        <f aca="false">IF(D8=0,0,1-F8/D8)</f>
        <v>0.666666666666667</v>
      </c>
    </row>
    <row r="9" customFormat="false" ht="15" hidden="false" customHeight="false" outlineLevel="0" collapsed="false">
      <c r="A9" s="27" t="s">
        <v>66</v>
      </c>
      <c r="B9" s="33" t="n">
        <f aca="false">假设!B14*假设!D14*30*(假设!E14-假设!F14)</f>
        <v>4680</v>
      </c>
      <c r="C9" s="28" t="s">
        <v>54</v>
      </c>
      <c r="D9" s="34" t="n">
        <f aca="false">(假设!B14*假设!D14*30*(假设!E14-假设!F14))*(2500*假设!C8+1200*假设!D8)/1000000</f>
        <v>119.34</v>
      </c>
      <c r="E9" s="28" t="s">
        <v>54</v>
      </c>
      <c r="F9" s="34" t="n">
        <f aca="false">(假设!B14*假设!D14*30*(假设!E14-假设!F14))*(2500*假设!C8+1200*假设!D8)/1000000</f>
        <v>119.34</v>
      </c>
      <c r="G9" s="34" t="n">
        <f aca="false">D9-F9</f>
        <v>0</v>
      </c>
      <c r="H9" s="35" t="n">
        <f aca="false">IF(D9=0,0,1-F9/D9)</f>
        <v>0</v>
      </c>
    </row>
    <row r="10" customFormat="false" ht="15" hidden="false" customHeight="false" outlineLevel="0" collapsed="false">
      <c r="A10" s="6" t="s">
        <v>86</v>
      </c>
      <c r="B10" s="30" t="n">
        <f aca="false">假设!B14*假设!D14*30*假设!F14</f>
        <v>1800</v>
      </c>
      <c r="C10" s="23" t="s">
        <v>54</v>
      </c>
      <c r="D10" s="31" t="n">
        <f aca="false">(假设!B14*假设!D14*30*假设!F14)*(3000*假设!C8+1500*假设!D8)/1000000</f>
        <v>56.7</v>
      </c>
      <c r="E10" s="23" t="s">
        <v>73</v>
      </c>
      <c r="F10" s="31" t="n">
        <f aca="false">(假设!B14*假设!D14*30*假设!F14)*(3000*假设!C9+1500*假设!D9)/1000000</f>
        <v>283.5</v>
      </c>
      <c r="G10" s="31" t="n">
        <f aca="false">D10-F10</f>
        <v>-226.8</v>
      </c>
      <c r="H10" s="32" t="n">
        <f aca="false">IF(D10=0,0,1-F10/D10)</f>
        <v>-4</v>
      </c>
    </row>
    <row r="11" customFormat="false" ht="15" hidden="false" customHeight="false" outlineLevel="0" collapsed="false">
      <c r="A11" s="36" t="s">
        <v>87</v>
      </c>
      <c r="B11" s="37"/>
      <c r="C11" s="37"/>
      <c r="D11" s="38" t="n">
        <f aca="false">SUM(D6:D10)</f>
        <v>855.27</v>
      </c>
      <c r="E11" s="37"/>
      <c r="F11" s="39" t="n">
        <f aca="false">SUM(F6:F10)</f>
        <v>631.35</v>
      </c>
      <c r="G11" s="40" t="n">
        <f aca="false">D11-F11</f>
        <v>223.92</v>
      </c>
      <c r="H11" s="41" t="n">
        <f aca="false">1-F11/D11</f>
        <v>0.261812059349679</v>
      </c>
    </row>
    <row r="14" customFormat="false" ht="14.9" hidden="false" customHeight="false" outlineLevel="0" collapsed="false">
      <c r="A14" s="4" t="s">
        <v>88</v>
      </c>
      <c r="B14" s="4"/>
      <c r="C14" s="4"/>
      <c r="D14" s="4"/>
      <c r="E14" s="4"/>
      <c r="F14" s="4"/>
      <c r="G14" s="4"/>
      <c r="H14" s="4"/>
    </row>
    <row r="15" customFormat="false" ht="31.5" hidden="false" customHeight="true" outlineLevel="0" collapsed="false">
      <c r="A15" s="16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83</v>
      </c>
      <c r="G15" s="5" t="s">
        <v>84</v>
      </c>
      <c r="H15" s="5" t="s">
        <v>85</v>
      </c>
    </row>
    <row r="16" customFormat="false" ht="15" hidden="false" customHeight="false" outlineLevel="0" collapsed="false">
      <c r="A16" s="6" t="s">
        <v>51</v>
      </c>
      <c r="B16" s="30" t="n">
        <f aca="false">假设!B15*假设!B23</f>
        <v>1000</v>
      </c>
      <c r="C16" s="23" t="s">
        <v>54</v>
      </c>
      <c r="D16" s="31" t="n">
        <f aca="false">(假设!B15*假设!B23)*(3000*假设!C8+1500*假设!D8)/1000000</f>
        <v>31.5</v>
      </c>
      <c r="E16" s="23" t="s">
        <v>54</v>
      </c>
      <c r="F16" s="31" t="n">
        <f aca="false">(假设!B15*假设!B23)*(3000*假设!C8+1500*假设!D8)/1000000</f>
        <v>31.5</v>
      </c>
      <c r="G16" s="31" t="n">
        <f aca="false">D16-F16</f>
        <v>0</v>
      </c>
      <c r="H16" s="32" t="n">
        <f aca="false">IF(D16=0,0,1-F16/D16)</f>
        <v>0</v>
      </c>
    </row>
    <row r="17" customFormat="false" ht="15" hidden="false" customHeight="false" outlineLevel="0" collapsed="false">
      <c r="A17" s="27" t="s">
        <v>56</v>
      </c>
      <c r="B17" s="33" t="n">
        <f aca="false">假设!B15*假设!C15*30</f>
        <v>600000</v>
      </c>
      <c r="C17" s="28" t="s">
        <v>54</v>
      </c>
      <c r="D17" s="34" t="n">
        <f aca="false">(假设!B15*假设!C15*30)*(400*假设!C8+200*假设!D8)/1000000</f>
        <v>2520</v>
      </c>
      <c r="E17" s="28" t="s">
        <v>59</v>
      </c>
      <c r="F17" s="34" t="n">
        <f aca="false">(假设!B15*假设!C15*30)*(400*假设!C7+200*假设!D7)/1000000</f>
        <v>840</v>
      </c>
      <c r="G17" s="34" t="n">
        <f aca="false">D17-F17</f>
        <v>1680</v>
      </c>
      <c r="H17" s="35" t="n">
        <f aca="false">IF(D17=0,0,1-F17/D17)</f>
        <v>0.666666666666667</v>
      </c>
    </row>
    <row r="18" customFormat="false" ht="15" hidden="false" customHeight="false" outlineLevel="0" collapsed="false">
      <c r="A18" s="14" t="s">
        <v>62</v>
      </c>
      <c r="B18" s="30" t="n">
        <f aca="false">假设!B15*假设!D15*30*(1-假设!E15)</f>
        <v>360000</v>
      </c>
      <c r="C18" s="23" t="s">
        <v>54</v>
      </c>
      <c r="D18" s="31" t="n">
        <f aca="false">(假设!B15*假设!D15*30*(1-假设!E15))*(1500*假设!C8+800*假设!D8)/1000000</f>
        <v>5940</v>
      </c>
      <c r="E18" s="23" t="s">
        <v>59</v>
      </c>
      <c r="F18" s="31" t="n">
        <f aca="false">(假设!B15*假设!D15*30*(1-假设!E15))*(1500*假设!C7+800*假设!D7)/1000000</f>
        <v>1980</v>
      </c>
      <c r="G18" s="31" t="n">
        <f aca="false">D18-F18</f>
        <v>3960</v>
      </c>
      <c r="H18" s="32" t="n">
        <f aca="false">IF(D18=0,0,1-F18/D18)</f>
        <v>0.666666666666667</v>
      </c>
    </row>
    <row r="19" customFormat="false" ht="15" hidden="false" customHeight="false" outlineLevel="0" collapsed="false">
      <c r="A19" s="27" t="s">
        <v>66</v>
      </c>
      <c r="B19" s="33" t="n">
        <f aca="false">假设!B15*假设!D15*30*(假设!E15-假设!F15)</f>
        <v>67500</v>
      </c>
      <c r="C19" s="28" t="s">
        <v>54</v>
      </c>
      <c r="D19" s="34" t="n">
        <f aca="false">(假设!B15*假设!D15*30*(假设!E15-假设!F15))*(2500*假设!C8+1200*假设!D8)/1000000</f>
        <v>1721.25</v>
      </c>
      <c r="E19" s="28" t="s">
        <v>54</v>
      </c>
      <c r="F19" s="34" t="n">
        <f aca="false">(假设!B15*假设!D15*30*(假设!E15-假设!F15))*(2500*假设!C8+1200*假设!D8)/1000000</f>
        <v>1721.25</v>
      </c>
      <c r="G19" s="34" t="n">
        <f aca="false">D19-F19</f>
        <v>0</v>
      </c>
      <c r="H19" s="35" t="n">
        <f aca="false">IF(D19=0,0,1-F19/D19)</f>
        <v>0</v>
      </c>
    </row>
    <row r="20" customFormat="false" ht="15" hidden="false" customHeight="false" outlineLevel="0" collapsed="false">
      <c r="A20" s="6" t="s">
        <v>86</v>
      </c>
      <c r="B20" s="30" t="n">
        <f aca="false">假设!B15*假设!D15*30*假设!F15</f>
        <v>22500</v>
      </c>
      <c r="C20" s="23" t="s">
        <v>54</v>
      </c>
      <c r="D20" s="31" t="n">
        <f aca="false">(假设!B15*假设!D15*30*假设!F15)*(3000*假设!C8+1500*假设!D8)/1000000</f>
        <v>708.75</v>
      </c>
      <c r="E20" s="23" t="s">
        <v>73</v>
      </c>
      <c r="F20" s="31" t="n">
        <f aca="false">(假设!B15*假设!D15*30*假设!F15)*(3000*假设!C9+1500*假设!D9)/1000000</f>
        <v>3543.75</v>
      </c>
      <c r="G20" s="31" t="n">
        <f aca="false">D20-F20</f>
        <v>-2835</v>
      </c>
      <c r="H20" s="32" t="n">
        <f aca="false">IF(D20=0,0,1-F20/D20)</f>
        <v>-4</v>
      </c>
    </row>
    <row r="21" customFormat="false" ht="15" hidden="false" customHeight="false" outlineLevel="0" collapsed="false">
      <c r="A21" s="36" t="s">
        <v>87</v>
      </c>
      <c r="B21" s="37"/>
      <c r="C21" s="37"/>
      <c r="D21" s="38" t="n">
        <f aca="false">SUM(D16:D20)</f>
        <v>10921.5</v>
      </c>
      <c r="E21" s="37"/>
      <c r="F21" s="39" t="n">
        <f aca="false">SUM(F16:F20)</f>
        <v>8116.5</v>
      </c>
      <c r="G21" s="40" t="n">
        <f aca="false">D21-F21</f>
        <v>2805</v>
      </c>
      <c r="H21" s="41" t="n">
        <f aca="false">1-F21/D21</f>
        <v>0.256832852630133</v>
      </c>
    </row>
    <row r="24" customFormat="false" ht="14.9" hidden="false" customHeight="false" outlineLevel="0" collapsed="false">
      <c r="A24" s="4" t="s">
        <v>89</v>
      </c>
      <c r="B24" s="4"/>
      <c r="C24" s="4"/>
      <c r="D24" s="4"/>
      <c r="E24" s="4"/>
      <c r="F24" s="4"/>
      <c r="G24" s="4"/>
      <c r="H24" s="4"/>
    </row>
    <row r="25" customFormat="false" ht="31.5" hidden="false" customHeight="true" outlineLevel="0" collapsed="false">
      <c r="A25" s="16" t="s">
        <v>78</v>
      </c>
      <c r="B25" s="5" t="s">
        <v>79</v>
      </c>
      <c r="C25" s="5" t="s">
        <v>80</v>
      </c>
      <c r="D25" s="5" t="s">
        <v>81</v>
      </c>
      <c r="E25" s="5" t="s">
        <v>82</v>
      </c>
      <c r="F25" s="5" t="s">
        <v>83</v>
      </c>
      <c r="G25" s="5" t="s">
        <v>84</v>
      </c>
      <c r="H25" s="5" t="s">
        <v>85</v>
      </c>
    </row>
    <row r="26" customFormat="false" ht="15" hidden="false" customHeight="false" outlineLevel="0" collapsed="false">
      <c r="A26" s="6" t="s">
        <v>51</v>
      </c>
      <c r="B26" s="30" t="n">
        <f aca="false">假设!B16*假设!B23</f>
        <v>10000</v>
      </c>
      <c r="C26" s="23" t="s">
        <v>54</v>
      </c>
      <c r="D26" s="31" t="n">
        <f aca="false">(假设!B16*假设!B23)*(3000*假设!C8+1500*假设!D8)/1000000</f>
        <v>315</v>
      </c>
      <c r="E26" s="23" t="s">
        <v>54</v>
      </c>
      <c r="F26" s="31" t="n">
        <f aca="false">(假设!B16*假设!B23)*(3000*假设!C8+1500*假设!D8)/1000000</f>
        <v>315</v>
      </c>
      <c r="G26" s="31" t="n">
        <f aca="false">D26-F26</f>
        <v>0</v>
      </c>
      <c r="H26" s="32" t="n">
        <f aca="false">IF(D26=0,0,1-F26/D26)</f>
        <v>0</v>
      </c>
    </row>
    <row r="27" customFormat="false" ht="15" hidden="false" customHeight="false" outlineLevel="0" collapsed="false">
      <c r="A27" s="27" t="s">
        <v>56</v>
      </c>
      <c r="B27" s="33" t="n">
        <f aca="false">假设!B16*假设!C16*30</f>
        <v>7500000</v>
      </c>
      <c r="C27" s="28" t="s">
        <v>54</v>
      </c>
      <c r="D27" s="34" t="n">
        <f aca="false">(假设!B16*假设!C16*30)*(400*假设!C8+200*假设!D8)/1000000</f>
        <v>31500</v>
      </c>
      <c r="E27" s="28" t="s">
        <v>59</v>
      </c>
      <c r="F27" s="34" t="n">
        <f aca="false">(假设!B16*假设!C16*30)*(400*假设!C7+200*假设!D7)/1000000</f>
        <v>10500</v>
      </c>
      <c r="G27" s="34" t="n">
        <f aca="false">D27-F27</f>
        <v>21000</v>
      </c>
      <c r="H27" s="35" t="n">
        <f aca="false">IF(D27=0,0,1-F27/D27)</f>
        <v>0.666666666666667</v>
      </c>
    </row>
    <row r="28" customFormat="false" ht="15" hidden="false" customHeight="false" outlineLevel="0" collapsed="false">
      <c r="A28" s="14" t="s">
        <v>62</v>
      </c>
      <c r="B28" s="30" t="n">
        <f aca="false">假设!B16*假设!D16*30*(1-假设!E16)</f>
        <v>4212000</v>
      </c>
      <c r="C28" s="23" t="s">
        <v>54</v>
      </c>
      <c r="D28" s="31" t="n">
        <f aca="false">(假设!B16*假设!D16*30*(1-假设!E16))*(1500*假设!C8+800*假设!D8)/1000000</f>
        <v>69498</v>
      </c>
      <c r="E28" s="23" t="s">
        <v>59</v>
      </c>
      <c r="F28" s="31" t="n">
        <f aca="false">(假设!B16*假设!D16*30*(1-假设!E16))*(1500*假设!C7+800*假设!D7)/1000000</f>
        <v>23166</v>
      </c>
      <c r="G28" s="31" t="n">
        <f aca="false">D28-F28</f>
        <v>46332</v>
      </c>
      <c r="H28" s="32" t="n">
        <f aca="false">IF(D28=0,0,1-F28/D28)</f>
        <v>0.666666666666667</v>
      </c>
    </row>
    <row r="29" customFormat="false" ht="15" hidden="false" customHeight="false" outlineLevel="0" collapsed="false">
      <c r="A29" s="27" t="s">
        <v>66</v>
      </c>
      <c r="B29" s="33" t="n">
        <f aca="false">假设!B16*假设!D16*30*(假设!E16-假设!F16)</f>
        <v>918000</v>
      </c>
      <c r="C29" s="28" t="s">
        <v>54</v>
      </c>
      <c r="D29" s="34" t="n">
        <f aca="false">(假设!B16*假设!D16*30*(假设!E16-假设!F16))*(2500*假设!C8+1200*假设!D8)/1000000</f>
        <v>23409</v>
      </c>
      <c r="E29" s="28" t="s">
        <v>54</v>
      </c>
      <c r="F29" s="34" t="n">
        <f aca="false">(假设!B16*假设!D16*30*(假设!E16-假设!F16))*(2500*假设!C8+1200*假设!D8)/1000000</f>
        <v>23409</v>
      </c>
      <c r="G29" s="34" t="n">
        <f aca="false">D29-F29</f>
        <v>0</v>
      </c>
      <c r="H29" s="35" t="n">
        <f aca="false">IF(D29=0,0,1-F29/D29)</f>
        <v>0</v>
      </c>
    </row>
    <row r="30" customFormat="false" ht="15" hidden="false" customHeight="false" outlineLevel="0" collapsed="false">
      <c r="A30" s="6" t="s">
        <v>86</v>
      </c>
      <c r="B30" s="30" t="n">
        <f aca="false">假设!B16*假设!D16*30*假设!F16</f>
        <v>270000</v>
      </c>
      <c r="C30" s="23" t="s">
        <v>54</v>
      </c>
      <c r="D30" s="31" t="n">
        <f aca="false">(假设!B16*假设!D16*30*假设!F16)*(3000*假设!C8+1500*假设!D8)/1000000</f>
        <v>8505</v>
      </c>
      <c r="E30" s="23" t="s">
        <v>73</v>
      </c>
      <c r="F30" s="31" t="n">
        <f aca="false">(假设!B16*假设!D16*30*假设!F16)*(3000*假设!C9+1500*假设!D9)/1000000</f>
        <v>42525</v>
      </c>
      <c r="G30" s="31" t="n">
        <f aca="false">D30-F30</f>
        <v>-34020</v>
      </c>
      <c r="H30" s="32" t="n">
        <f aca="false">IF(D30=0,0,1-F30/D30)</f>
        <v>-4</v>
      </c>
    </row>
    <row r="31" customFormat="false" ht="15" hidden="false" customHeight="false" outlineLevel="0" collapsed="false">
      <c r="A31" s="36" t="s">
        <v>87</v>
      </c>
      <c r="B31" s="37"/>
      <c r="C31" s="37"/>
      <c r="D31" s="38" t="n">
        <f aca="false">SUM(D26:D30)</f>
        <v>133227</v>
      </c>
      <c r="E31" s="37"/>
      <c r="F31" s="39" t="n">
        <f aca="false">SUM(F26:F30)</f>
        <v>99915</v>
      </c>
      <c r="G31" s="40" t="n">
        <f aca="false">D31-F31</f>
        <v>33312</v>
      </c>
      <c r="H31" s="41" t="n">
        <f aca="false">1-F31/D31</f>
        <v>0.250039406426625</v>
      </c>
    </row>
    <row r="35" customFormat="false" ht="15" hidden="false" customHeight="false" outlineLevel="0" collapsed="false">
      <c r="A35" s="4" t="s">
        <v>90</v>
      </c>
      <c r="B35" s="4"/>
      <c r="C35" s="4"/>
      <c r="D35" s="4"/>
      <c r="E35" s="4"/>
      <c r="F35" s="4"/>
      <c r="G35" s="4"/>
      <c r="H35" s="4"/>
    </row>
    <row r="36" customFormat="false" ht="31.5" hidden="false" customHeight="true" outlineLevel="0" collapsed="false">
      <c r="A36" s="16" t="s">
        <v>91</v>
      </c>
      <c r="B36" s="16" t="s">
        <v>21</v>
      </c>
      <c r="C36" s="5" t="s">
        <v>92</v>
      </c>
      <c r="D36" s="5" t="s">
        <v>93</v>
      </c>
      <c r="E36" s="5" t="s">
        <v>85</v>
      </c>
      <c r="F36" s="5" t="s">
        <v>94</v>
      </c>
      <c r="G36" s="5" t="s">
        <v>95</v>
      </c>
      <c r="H36" s="5" t="s">
        <v>33</v>
      </c>
    </row>
    <row r="37" customFormat="false" ht="15" hidden="false" customHeight="false" outlineLevel="0" collapsed="false">
      <c r="A37" s="7" t="s">
        <v>26</v>
      </c>
      <c r="B37" s="42" t="n">
        <f aca="false">假设!B14</f>
        <v>1000</v>
      </c>
      <c r="C37" s="43" t="n">
        <f aca="false">D11</f>
        <v>855.27</v>
      </c>
      <c r="D37" s="44" t="n">
        <f aca="false">F11</f>
        <v>631.35</v>
      </c>
      <c r="E37" s="45" t="n">
        <f aca="false">1-F11/D11</f>
        <v>0.261812059349679</v>
      </c>
      <c r="F37" s="46" t="n">
        <f aca="false">D11/B37</f>
        <v>0.85527</v>
      </c>
      <c r="G37" s="46" t="n">
        <f aca="false">F11/B37</f>
        <v>0.63135</v>
      </c>
      <c r="H37" s="9" t="s">
        <v>96</v>
      </c>
    </row>
    <row r="38" customFormat="false" ht="15" hidden="false" customHeight="false" outlineLevel="0" collapsed="false">
      <c r="A38" s="7" t="s">
        <v>27</v>
      </c>
      <c r="B38" s="42" t="n">
        <f aca="false">假设!B15</f>
        <v>10000</v>
      </c>
      <c r="C38" s="43" t="n">
        <f aca="false">D21</f>
        <v>10921.5</v>
      </c>
      <c r="D38" s="44" t="n">
        <f aca="false">F21</f>
        <v>8116.5</v>
      </c>
      <c r="E38" s="45" t="n">
        <f aca="false">1-F21/D21</f>
        <v>0.256832852630133</v>
      </c>
      <c r="F38" s="46" t="n">
        <f aca="false">D21/B38</f>
        <v>1.09215</v>
      </c>
      <c r="G38" s="46" t="n">
        <f aca="false">F21/B38</f>
        <v>0.81165</v>
      </c>
      <c r="H38" s="9" t="s">
        <v>97</v>
      </c>
    </row>
    <row r="39" customFormat="false" ht="15" hidden="false" customHeight="false" outlineLevel="0" collapsed="false">
      <c r="A39" s="7" t="s">
        <v>28</v>
      </c>
      <c r="B39" s="42" t="n">
        <f aca="false">假设!B16</f>
        <v>100000</v>
      </c>
      <c r="C39" s="43" t="n">
        <f aca="false">D31</f>
        <v>133227</v>
      </c>
      <c r="D39" s="44" t="n">
        <f aca="false">F31</f>
        <v>99915</v>
      </c>
      <c r="E39" s="45" t="n">
        <f aca="false">1-F31/D31</f>
        <v>0.250039406426625</v>
      </c>
      <c r="F39" s="46" t="n">
        <f aca="false">D31/B39</f>
        <v>1.33227</v>
      </c>
      <c r="G39" s="46" t="n">
        <f aca="false">F31/B39</f>
        <v>0.99915</v>
      </c>
      <c r="H39" s="24" t="s">
        <v>98</v>
      </c>
    </row>
    <row r="42" customFormat="false" ht="11.9" hidden="false" customHeight="false" outlineLevel="0" collapsed="false">
      <c r="A42" s="2" t="s">
        <v>99</v>
      </c>
      <c r="B42" s="2"/>
      <c r="C42" s="2"/>
      <c r="D42" s="2"/>
      <c r="E42" s="2"/>
      <c r="F42" s="2"/>
      <c r="G42" s="2"/>
      <c r="H42" s="2"/>
    </row>
    <row r="43" customFormat="false" ht="11.9" hidden="false" customHeight="false" outlineLevel="0" collapsed="false">
      <c r="A43" s="2" t="s">
        <v>100</v>
      </c>
      <c r="B43" s="2"/>
      <c r="C43" s="2"/>
      <c r="D43" s="2"/>
      <c r="E43" s="2"/>
      <c r="F43" s="2"/>
      <c r="G43" s="2"/>
      <c r="H43" s="2"/>
    </row>
  </sheetData>
  <mergeCells count="8">
    <mergeCell ref="A1:H1"/>
    <mergeCell ref="A2:H2"/>
    <mergeCell ref="A4:H4"/>
    <mergeCell ref="A14:H14"/>
    <mergeCell ref="A24:H24"/>
    <mergeCell ref="A35:H35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2026-05-19T06:30:00Z</dcterms:created>
  <dc:creator>openpyxl</dc:creator>
  <dc:description/>
  <dc:language>en-US</dc:language>
  <cp:lastModifiedBy/>
  <dcterms:modified xsi:type="dcterms:W3CDTF">2026-05-19T06:30:00Z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